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3.xml" ContentType="application/vnd.openxmlformats-officedocument.drawing+xml"/>
  <Override PartName="/xl/charts/chart3.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workbookPr/>
  <mc:AlternateContent xmlns:mc="http://schemas.openxmlformats.org/markup-compatibility/2006">
    <mc:Choice Requires="x15">
      <x15ac:absPath xmlns:x15ac="http://schemas.microsoft.com/office/spreadsheetml/2010/11/ac" url="C:\Users\MEC\Documents\itba\finanzas_control_de_gestion\Examen\TP3\"/>
    </mc:Choice>
  </mc:AlternateContent>
  <xr:revisionPtr revIDLastSave="0" documentId="13_ncr:1_{C84D4842-19AF-4C77-A8DC-894488D4F419}" xr6:coauthVersionLast="47" xr6:coauthVersionMax="47" xr10:uidLastSave="{00000000-0000-0000-0000-000000000000}"/>
  <bookViews>
    <workbookView xWindow="-110" yWindow="-110" windowWidth="19420" windowHeight="10300" firstSheet="4" activeTab="9" xr2:uid="{00000000-000D-0000-FFFF-FFFF00000000}"/>
  </bookViews>
  <sheets>
    <sheet name="ENTREGABLE 3" sheetId="1" r:id="rId1"/>
    <sheet name="DOLAR MEP" sheetId="2" r:id="rId2"/>
    <sheet name="Ejercicio 1 y 2" sheetId="3" r:id="rId3"/>
    <sheet name="Ejercicio 3" sheetId="4" r:id="rId4"/>
    <sheet name="Ejercicio 4" sheetId="5" r:id="rId5"/>
    <sheet name="Ejercicio 5" sheetId="6" r:id="rId6"/>
    <sheet name="Ejercicio 6" sheetId="7" r:id="rId7"/>
    <sheet name="Ejercicio 7" sheetId="8" r:id="rId8"/>
    <sheet name="Ejercicio 8 y 9" sheetId="9" r:id="rId9"/>
    <sheet name="Ejercicio 10" sheetId="10" r:id="rId10"/>
  </sheets>
  <definedNames>
    <definedName name="taxtable">#REF!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14" roundtripDataSignature="AMtx7mhMvNtZNZe1uW/CtZgD1547sJv8xQ=="/>
    </ext>
  </extLst>
</workbook>
</file>

<file path=xl/calcChain.xml><?xml version="1.0" encoding="utf-8"?>
<calcChain xmlns="http://schemas.openxmlformats.org/spreadsheetml/2006/main">
  <c r="B5" i="4" l="1"/>
  <c r="M7" i="10"/>
  <c r="H7" i="10"/>
  <c r="G7" i="10"/>
  <c r="F7" i="10"/>
  <c r="K7" i="10" s="1"/>
  <c r="H6" i="10"/>
  <c r="G6" i="10"/>
  <c r="L7" i="10" s="1"/>
  <c r="F6" i="10"/>
  <c r="I7" i="10" s="1"/>
  <c r="N7" i="10" s="1"/>
  <c r="K4" i="10"/>
  <c r="I4" i="10"/>
  <c r="H4" i="10"/>
  <c r="G4" i="10"/>
  <c r="L4" i="10" s="1"/>
  <c r="F4" i="10"/>
  <c r="H3" i="10"/>
  <c r="M4" i="10" s="1"/>
  <c r="G3" i="10"/>
  <c r="F3" i="10"/>
  <c r="C13" i="9"/>
  <c r="E12" i="9"/>
  <c r="F12" i="9" s="1"/>
  <c r="G12" i="9" s="1"/>
  <c r="H12" i="9" s="1"/>
  <c r="I12" i="9" s="1"/>
  <c r="J12" i="9" s="1"/>
  <c r="K12" i="9" s="1"/>
  <c r="L12" i="9" s="1"/>
  <c r="M12" i="9" s="1"/>
  <c r="N12" i="9" s="1"/>
  <c r="O12" i="9" s="1"/>
  <c r="P12" i="9" s="1"/>
  <c r="Q12" i="9" s="1"/>
  <c r="E8" i="9"/>
  <c r="F8" i="9" s="1"/>
  <c r="G8" i="9" s="1"/>
  <c r="H8" i="9" s="1"/>
  <c r="I8" i="9" s="1"/>
  <c r="J8" i="9" s="1"/>
  <c r="K8" i="9" s="1"/>
  <c r="L8" i="9" s="1"/>
  <c r="M8" i="9" s="1"/>
  <c r="N8" i="9" s="1"/>
  <c r="O8" i="9" s="1"/>
  <c r="P8" i="9" s="1"/>
  <c r="Q8" i="9" s="1"/>
  <c r="R8" i="9" s="1"/>
  <c r="R10" i="9" s="1"/>
  <c r="B5" i="9"/>
  <c r="D9" i="9" s="1"/>
  <c r="D7" i="8"/>
  <c r="G6" i="8"/>
  <c r="H6" i="8" s="1"/>
  <c r="I6" i="8" s="1"/>
  <c r="J6" i="8" s="1"/>
  <c r="K6" i="8" s="1"/>
  <c r="L6" i="8" s="1"/>
  <c r="E6" i="8"/>
  <c r="F6" i="8" s="1"/>
  <c r="B5" i="8"/>
  <c r="B5" i="7"/>
  <c r="C8" i="6"/>
  <c r="B8" i="6"/>
  <c r="D7" i="6"/>
  <c r="C7" i="6"/>
  <c r="B7" i="5"/>
  <c r="B4" i="5"/>
  <c r="B6" i="5" s="1"/>
  <c r="B8" i="5" s="1"/>
  <c r="B10" i="4"/>
  <c r="B9" i="4"/>
  <c r="A9" i="4"/>
  <c r="A10" i="4" s="1"/>
  <c r="B8" i="4"/>
  <c r="A8" i="4"/>
  <c r="D7" i="4"/>
  <c r="B7" i="4"/>
  <c r="C7" i="4" s="1"/>
  <c r="C8" i="4" s="1"/>
  <c r="G11" i="3"/>
  <c r="H11" i="3" s="1"/>
  <c r="D11" i="3"/>
  <c r="C11" i="3"/>
  <c r="E11" i="3" s="1"/>
  <c r="B11" i="3"/>
  <c r="L10" i="3"/>
  <c r="K10" i="3"/>
  <c r="H10" i="3"/>
  <c r="G10" i="3"/>
  <c r="C10" i="3"/>
  <c r="D10" i="3" s="1"/>
  <c r="L9" i="3"/>
  <c r="K9" i="3"/>
  <c r="G9" i="3"/>
  <c r="H9" i="3" s="1"/>
  <c r="L8" i="3"/>
  <c r="G8" i="3"/>
  <c r="H8" i="3" s="1"/>
  <c r="I8" i="3" s="1"/>
  <c r="E8" i="3"/>
  <c r="C8" i="3"/>
  <c r="D8" i="3" s="1"/>
  <c r="B2" i="3"/>
  <c r="B5" i="3" s="1"/>
  <c r="F49" i="1"/>
  <c r="E49" i="1"/>
  <c r="J9" i="3" l="1"/>
  <c r="I9" i="3"/>
  <c r="M6" i="8"/>
  <c r="N6" i="8" s="1"/>
  <c r="O6" i="8" s="1"/>
  <c r="P6" i="8" s="1"/>
  <c r="Q6" i="8" s="1"/>
  <c r="R6" i="8" s="1"/>
  <c r="R8" i="8" s="1"/>
  <c r="L7" i="8"/>
  <c r="I11" i="3"/>
  <c r="J11" i="3"/>
  <c r="B10" i="9"/>
  <c r="J10" i="3"/>
  <c r="I10" i="3"/>
  <c r="Q9" i="9"/>
  <c r="M9" i="3"/>
  <c r="N9" i="3"/>
  <c r="D9" i="4"/>
  <c r="N13" i="9"/>
  <c r="F13" i="9"/>
  <c r="P9" i="9"/>
  <c r="H9" i="9"/>
  <c r="M13" i="9"/>
  <c r="E13" i="9"/>
  <c r="O9" i="9"/>
  <c r="G9" i="9"/>
  <c r="L13" i="9"/>
  <c r="D13" i="9"/>
  <c r="B13" i="9" s="1"/>
  <c r="N9" i="9"/>
  <c r="F9" i="9"/>
  <c r="K13" i="9"/>
  <c r="M9" i="9"/>
  <c r="E9" i="9"/>
  <c r="J13" i="9"/>
  <c r="I13" i="9"/>
  <c r="K9" i="9"/>
  <c r="R11" i="9" s="1"/>
  <c r="B11" i="9" s="1"/>
  <c r="P13" i="9"/>
  <c r="H13" i="9"/>
  <c r="R9" i="9"/>
  <c r="B9" i="9" s="1"/>
  <c r="J9" i="9"/>
  <c r="J8" i="3"/>
  <c r="K11" i="3"/>
  <c r="L11" i="3" s="1"/>
  <c r="K8" i="3"/>
  <c r="N8" i="3" s="1"/>
  <c r="C9" i="3"/>
  <c r="E10" i="3"/>
  <c r="K7" i="8"/>
  <c r="J7" i="8"/>
  <c r="I7" i="8"/>
  <c r="P7" i="8"/>
  <c r="H7" i="8"/>
  <c r="F7" i="8"/>
  <c r="E7" i="8"/>
  <c r="I9" i="9"/>
  <c r="O13" i="9"/>
  <c r="D8" i="6"/>
  <c r="E9" i="6" s="1"/>
  <c r="E10" i="6" s="1"/>
  <c r="E7" i="6"/>
  <c r="M10" i="3"/>
  <c r="N10" i="3"/>
  <c r="G7" i="8"/>
  <c r="E7" i="4"/>
  <c r="D10" i="4"/>
  <c r="D8" i="4"/>
  <c r="L9" i="9"/>
  <c r="G13" i="9"/>
  <c r="N4" i="10"/>
  <c r="C9" i="4"/>
  <c r="C10" i="4" s="1"/>
  <c r="N11" i="3" l="1"/>
  <c r="M11" i="3"/>
  <c r="O7" i="8"/>
  <c r="Q7" i="8"/>
  <c r="E8" i="4"/>
  <c r="F7" i="4"/>
  <c r="M8" i="3"/>
  <c r="M7" i="8"/>
  <c r="R9" i="8" s="1"/>
  <c r="B9" i="8" s="1"/>
  <c r="R7" i="8"/>
  <c r="B7" i="8" s="1"/>
  <c r="D9" i="3"/>
  <c r="E9" i="3"/>
  <c r="B8" i="8"/>
  <c r="N7" i="8"/>
  <c r="G7" i="4" l="1"/>
  <c r="F8" i="4"/>
  <c r="E9" i="4"/>
  <c r="E10" i="4" s="1"/>
  <c r="G9" i="4" l="1"/>
  <c r="F9" i="4"/>
  <c r="F10" i="4" s="1"/>
  <c r="G10" i="4"/>
  <c r="G8" i="4"/>
  <c r="H7" i="4"/>
  <c r="I7" i="4" l="1"/>
  <c r="H8" i="4"/>
  <c r="H9" i="4" l="1"/>
  <c r="H10" i="4" s="1"/>
  <c r="I8" i="4"/>
  <c r="J7" i="4"/>
  <c r="I9" i="4" l="1"/>
  <c r="I10" i="4" s="1"/>
  <c r="K7" i="4"/>
  <c r="J8" i="4"/>
  <c r="L7" i="4" l="1"/>
  <c r="K8" i="4"/>
  <c r="J9" i="4"/>
  <c r="J10" i="4" s="1"/>
  <c r="K9" i="4"/>
  <c r="K10" i="4" s="1"/>
  <c r="M7" i="4" l="1"/>
  <c r="L8" i="4"/>
  <c r="L9" i="4" l="1"/>
  <c r="L10" i="4" s="1"/>
  <c r="M8" i="4"/>
  <c r="M9" i="4" s="1"/>
  <c r="M10" i="4" s="1"/>
  <c r="N7" i="4"/>
  <c r="O7" i="4" l="1"/>
  <c r="N8" i="4"/>
  <c r="N9" i="4" s="1"/>
  <c r="N10" i="4" s="1"/>
  <c r="O8" i="4" l="1"/>
  <c r="O9" i="4" s="1"/>
  <c r="O10" i="4" s="1"/>
  <c r="P7" i="4"/>
  <c r="Q7" i="4" l="1"/>
  <c r="P8" i="4"/>
  <c r="P9" i="4" s="1"/>
  <c r="P10" i="4" s="1"/>
  <c r="Q8" i="4" l="1"/>
  <c r="Q9" i="4" s="1"/>
  <c r="Q10" i="4" s="1"/>
  <c r="R7" i="4"/>
  <c r="S7" i="4" l="1"/>
  <c r="R8" i="4"/>
  <c r="R9" i="4" s="1"/>
  <c r="R10" i="4" s="1"/>
  <c r="T7" i="4" l="1"/>
  <c r="S8" i="4"/>
  <c r="S9" i="4" s="1"/>
  <c r="S10" i="4" s="1"/>
  <c r="U7" i="4" l="1"/>
  <c r="T8" i="4"/>
  <c r="T9" i="4" s="1"/>
  <c r="T10" i="4" s="1"/>
  <c r="V7" i="4" l="1"/>
  <c r="U8" i="4"/>
  <c r="U9" i="4" s="1"/>
  <c r="U10" i="4" s="1"/>
  <c r="V8" i="4" l="1"/>
  <c r="V9" i="4" s="1"/>
  <c r="V10" i="4" s="1"/>
  <c r="W7" i="4"/>
  <c r="W8" i="4" l="1"/>
  <c r="W9" i="4" s="1"/>
  <c r="W10" i="4" s="1"/>
  <c r="X7" i="4"/>
  <c r="Y7" i="4" l="1"/>
  <c r="X8" i="4"/>
  <c r="X9" i="4" s="1"/>
  <c r="X10" i="4" s="1"/>
  <c r="Y8" i="4" l="1"/>
  <c r="Y9" i="4" s="1"/>
  <c r="Y10" i="4" s="1"/>
  <c r="Z7" i="4"/>
  <c r="AA7" i="4" l="1"/>
  <c r="Z8" i="4"/>
  <c r="Z9" i="4" s="1"/>
  <c r="Z10" i="4"/>
  <c r="AB7" i="4" l="1"/>
  <c r="AA8" i="4"/>
  <c r="AA9" i="4" s="1"/>
  <c r="AA10" i="4" s="1"/>
  <c r="AC7" i="4" l="1"/>
  <c r="AB8" i="4"/>
  <c r="AB9" i="4" s="1"/>
  <c r="AB10" i="4" s="1"/>
  <c r="AD7" i="4" l="1"/>
  <c r="AC8" i="4"/>
  <c r="AC9" i="4" s="1"/>
  <c r="AC10" i="4"/>
  <c r="AD8" i="4" l="1"/>
  <c r="AD9" i="4" s="1"/>
  <c r="AD10" i="4" s="1"/>
  <c r="AE7" i="4"/>
  <c r="AE8" i="4" l="1"/>
  <c r="AE9" i="4" s="1"/>
  <c r="AE10" i="4" s="1"/>
  <c r="AF7" i="4"/>
  <c r="AG7" i="4" l="1"/>
  <c r="AF8" i="4"/>
  <c r="AF9" i="4" s="1"/>
  <c r="AF10" i="4" s="1"/>
  <c r="AG8" i="4" l="1"/>
  <c r="AG9" i="4" s="1"/>
  <c r="AG10" i="4" s="1"/>
  <c r="AH7" i="4"/>
  <c r="AI7" i="4" l="1"/>
  <c r="AH8" i="4"/>
  <c r="AH9" i="4" s="1"/>
  <c r="AH10" i="4"/>
  <c r="AJ7" i="4" l="1"/>
  <c r="AI8" i="4"/>
  <c r="AI9" i="4" s="1"/>
  <c r="AI10" i="4" s="1"/>
  <c r="AK7" i="4" l="1"/>
  <c r="AJ8" i="4"/>
  <c r="AJ9" i="4" s="1"/>
  <c r="AJ10" i="4" s="1"/>
  <c r="AL7" i="4" l="1"/>
  <c r="AK8" i="4"/>
  <c r="AK9" i="4" s="1"/>
  <c r="AK10" i="4" s="1"/>
  <c r="AL8" i="4" l="1"/>
  <c r="AL9" i="4" s="1"/>
  <c r="AL10" i="4" s="1"/>
  <c r="AM7" i="4"/>
  <c r="AM8" i="4" l="1"/>
  <c r="AM9" i="4" s="1"/>
  <c r="AM10" i="4" s="1"/>
  <c r="AN7" i="4"/>
  <c r="AO7" i="4" l="1"/>
  <c r="AN8" i="4"/>
  <c r="AN9" i="4" s="1"/>
  <c r="AN10" i="4" s="1"/>
  <c r="AO8" i="4" l="1"/>
  <c r="AO9" i="4" s="1"/>
  <c r="AO10" i="4" s="1"/>
  <c r="AP7" i="4"/>
  <c r="AQ7" i="4" l="1"/>
  <c r="AP8" i="4"/>
  <c r="AP9" i="4" s="1"/>
  <c r="AP10" i="4" s="1"/>
  <c r="AQ8" i="4" l="1"/>
  <c r="AQ9" i="4" s="1"/>
  <c r="AQ10" i="4"/>
  <c r="AR7" i="4"/>
  <c r="AS7" i="4" l="1"/>
  <c r="AR8" i="4"/>
  <c r="AR9" i="4" s="1"/>
  <c r="AR10" i="4" s="1"/>
  <c r="AT7" i="4" l="1"/>
  <c r="AS8" i="4"/>
  <c r="AS9" i="4" s="1"/>
  <c r="AS10" i="4" s="1"/>
  <c r="AU7" i="4" l="1"/>
  <c r="AT8" i="4"/>
  <c r="AT9" i="4" s="1"/>
  <c r="AT10" i="4" s="1"/>
  <c r="AU8" i="4" l="1"/>
  <c r="AU9" i="4" s="1"/>
  <c r="AU10" i="4" s="1"/>
  <c r="AV7" i="4"/>
  <c r="AV8" i="4" l="1"/>
  <c r="AV9" i="4" s="1"/>
  <c r="AV10" i="4" s="1"/>
  <c r="AW7" i="4"/>
  <c r="AW8" i="4" l="1"/>
  <c r="AW9" i="4" s="1"/>
  <c r="AW10" i="4" s="1"/>
  <c r="AX7" i="4"/>
  <c r="AY7" i="4" l="1"/>
  <c r="AX8" i="4"/>
  <c r="AX9" i="4" s="1"/>
  <c r="AX10" i="4" s="1"/>
  <c r="AY10" i="4" l="1"/>
  <c r="AZ7" i="4"/>
  <c r="AY8" i="4"/>
  <c r="AY9" i="4" s="1"/>
  <c r="BA7" i="4" l="1"/>
  <c r="AZ8" i="4"/>
  <c r="AZ9" i="4" s="1"/>
  <c r="AZ10" i="4" s="1"/>
  <c r="BB7" i="4" l="1"/>
  <c r="BA8" i="4"/>
  <c r="BA9" i="4" s="1"/>
  <c r="BA10" i="4" s="1"/>
  <c r="BC7" i="4" l="1"/>
  <c r="BB8" i="4"/>
  <c r="BB9" i="4" s="1"/>
  <c r="BB10" i="4" s="1"/>
  <c r="BC8" i="4" l="1"/>
  <c r="BC9" i="4" s="1"/>
  <c r="BC10" i="4" s="1"/>
  <c r="BD7" i="4"/>
  <c r="BD8" i="4" l="1"/>
  <c r="BD9" i="4" s="1"/>
  <c r="BD10" i="4" s="1"/>
  <c r="BE7" i="4"/>
  <c r="BE8" i="4" l="1"/>
  <c r="BE9" i="4" s="1"/>
  <c r="BE10" i="4" s="1"/>
  <c r="BF7" i="4"/>
  <c r="BG7" i="4" l="1"/>
  <c r="BF8" i="4"/>
  <c r="BF9" i="4" s="1"/>
  <c r="BF10" i="4" s="1"/>
  <c r="BH7" i="4" l="1"/>
  <c r="BG8" i="4"/>
  <c r="BG9" i="4" s="1"/>
  <c r="BG10" i="4" s="1"/>
  <c r="BI7" i="4" l="1"/>
  <c r="BH8" i="4"/>
  <c r="BH9" i="4" s="1"/>
  <c r="BH10" i="4" s="1"/>
  <c r="BJ7" i="4" l="1"/>
  <c r="BI8" i="4"/>
  <c r="BI9" i="4" s="1"/>
  <c r="BI10" i="4" s="1"/>
  <c r="BK7" i="4" l="1"/>
  <c r="BJ8" i="4"/>
  <c r="BJ9" i="4" s="1"/>
  <c r="BJ10" i="4" s="1"/>
  <c r="BK8" i="4" l="1"/>
  <c r="BK9" i="4" s="1"/>
  <c r="BK10" i="4" s="1"/>
  <c r="BL7" i="4"/>
  <c r="BM7" i="4" l="1"/>
  <c r="BL8" i="4"/>
  <c r="BL9" i="4" s="1"/>
  <c r="BL10" i="4" s="1"/>
  <c r="BM8" i="4" l="1"/>
  <c r="BM9" i="4" s="1"/>
  <c r="BM10" i="4" s="1"/>
  <c r="BN7" i="4"/>
  <c r="BO7" i="4" l="1"/>
  <c r="BN8" i="4"/>
  <c r="BN9" i="4" s="1"/>
  <c r="BN10" i="4" s="1"/>
  <c r="BP7" i="4" l="1"/>
  <c r="BO8" i="4"/>
  <c r="BO9" i="4" s="1"/>
  <c r="BO10" i="4" s="1"/>
  <c r="BQ7" i="4" l="1"/>
  <c r="BP8" i="4"/>
  <c r="BP9" i="4" s="1"/>
  <c r="BP10" i="4" s="1"/>
  <c r="BQ8" i="4" l="1"/>
  <c r="BQ9" i="4" s="1"/>
  <c r="BR7" i="4"/>
  <c r="BQ10" i="4"/>
  <c r="BS7" i="4" l="1"/>
  <c r="BR8" i="4"/>
  <c r="BR9" i="4" s="1"/>
  <c r="BR10" i="4" s="1"/>
  <c r="BS8" i="4" l="1"/>
  <c r="BS9" i="4" s="1"/>
  <c r="BS10" i="4" s="1"/>
  <c r="BT7" i="4"/>
  <c r="BT8" i="4" l="1"/>
  <c r="BT9" i="4" s="1"/>
  <c r="BT10" i="4" s="1"/>
  <c r="BU7" i="4"/>
  <c r="BU8" i="4" l="1"/>
  <c r="BU9" i="4" s="1"/>
  <c r="BU10" i="4" s="1"/>
  <c r="BV7" i="4"/>
  <c r="BW7" i="4" l="1"/>
  <c r="BV8" i="4"/>
  <c r="BV9" i="4" s="1"/>
  <c r="BV10" i="4" s="1"/>
  <c r="BX7" i="4" l="1"/>
  <c r="BW8" i="4"/>
  <c r="BW9" i="4" s="1"/>
  <c r="BW10" i="4" s="1"/>
  <c r="BY7" i="4" l="1"/>
  <c r="BX8" i="4"/>
  <c r="BX9" i="4" s="1"/>
  <c r="BX10" i="4" s="1"/>
  <c r="BY8" i="4" l="1"/>
  <c r="BY9" i="4" s="1"/>
  <c r="BY10" i="4" s="1"/>
  <c r="BZ7" i="4"/>
  <c r="CA7" i="4" l="1"/>
  <c r="BZ8" i="4"/>
  <c r="BZ9" i="4" s="1"/>
  <c r="BZ10" i="4" s="1"/>
  <c r="CA8" i="4" l="1"/>
  <c r="CA9" i="4" s="1"/>
  <c r="CA10" i="4" s="1"/>
  <c r="CB7" i="4"/>
  <c r="CC7" i="4" l="1"/>
  <c r="CB8" i="4"/>
  <c r="CB9" i="4" s="1"/>
  <c r="CB10" i="4" s="1"/>
  <c r="CC8" i="4" l="1"/>
  <c r="CC9" i="4" s="1"/>
  <c r="CC10" i="4" s="1"/>
  <c r="CD7" i="4"/>
  <c r="CE7" i="4" l="1"/>
  <c r="CD8" i="4"/>
  <c r="CD9" i="4" s="1"/>
  <c r="CD10" i="4" s="1"/>
  <c r="CF7" i="4" l="1"/>
  <c r="CE8" i="4"/>
  <c r="CE9" i="4" s="1"/>
  <c r="CE10" i="4" s="1"/>
  <c r="CG7" i="4" l="1"/>
  <c r="CF8" i="4"/>
  <c r="CF9" i="4" s="1"/>
  <c r="CF10" i="4" s="1"/>
  <c r="CH7" i="4" l="1"/>
  <c r="CG8" i="4"/>
  <c r="CG9" i="4" s="1"/>
  <c r="CG10" i="4" s="1"/>
  <c r="CI7" i="4" l="1"/>
  <c r="CH8" i="4"/>
  <c r="CH9" i="4" s="1"/>
  <c r="CH10" i="4" s="1"/>
  <c r="CI8" i="4" l="1"/>
  <c r="CI9" i="4" s="1"/>
  <c r="CI10" i="4" s="1"/>
  <c r="CJ7" i="4"/>
  <c r="CJ10" i="4" l="1"/>
  <c r="CK7" i="4"/>
  <c r="CJ8" i="4"/>
  <c r="CJ9" i="4" s="1"/>
  <c r="CK8" i="4" l="1"/>
  <c r="CK9" i="4" s="1"/>
  <c r="CK10" i="4" s="1"/>
  <c r="CL7" i="4"/>
  <c r="CM7" i="4" l="1"/>
  <c r="CL8" i="4"/>
  <c r="CL9" i="4" s="1"/>
  <c r="CL10" i="4" s="1"/>
  <c r="CN7" i="4" l="1"/>
  <c r="CM8" i="4"/>
  <c r="CM9" i="4" s="1"/>
  <c r="CM10" i="4" s="1"/>
  <c r="CO7" i="4" l="1"/>
  <c r="CN8" i="4"/>
  <c r="CN9" i="4" s="1"/>
  <c r="CN10" i="4" s="1"/>
  <c r="CP7" i="4" l="1"/>
  <c r="CO8" i="4"/>
  <c r="CO9" i="4" s="1"/>
  <c r="CO10" i="4" s="1"/>
  <c r="CP8" i="4" l="1"/>
  <c r="CP9" i="4" s="1"/>
  <c r="CP10" i="4" s="1"/>
  <c r="CQ7" i="4"/>
  <c r="CQ8" i="4" l="1"/>
  <c r="CQ9" i="4" s="1"/>
  <c r="CQ10" i="4" s="1"/>
  <c r="CR7" i="4"/>
  <c r="CS7" i="4" l="1"/>
  <c r="CR8" i="4"/>
  <c r="CR9" i="4" s="1"/>
  <c r="CR10" i="4" s="1"/>
  <c r="CS8" i="4" l="1"/>
  <c r="CS9" i="4" s="1"/>
  <c r="CS10" i="4" s="1"/>
  <c r="CT7" i="4"/>
  <c r="CU7" i="4" l="1"/>
  <c r="CT8" i="4"/>
  <c r="CT9" i="4" s="1"/>
  <c r="CT10" i="4" s="1"/>
  <c r="CV7" i="4" l="1"/>
  <c r="CU8" i="4"/>
  <c r="CU9" i="4" s="1"/>
  <c r="CU10" i="4" s="1"/>
  <c r="CV8" i="4" l="1"/>
  <c r="CV9" i="4" s="1"/>
  <c r="CV10" i="4" s="1"/>
</calcChain>
</file>

<file path=xl/sharedStrings.xml><?xml version="1.0" encoding="utf-8"?>
<sst xmlns="http://schemas.openxmlformats.org/spreadsheetml/2006/main" count="135" uniqueCount="87">
  <si>
    <t>ENTREGABLE 3</t>
  </si>
  <si>
    <t>VALUACION DE ACCIONES</t>
  </si>
  <si>
    <t>CALCULAR EL PRECIO DE UNA ACCION CON LOS SIGUIENTES DATOS</t>
  </si>
  <si>
    <t>CECIMIENTO = CONSTANTE 8%</t>
  </si>
  <si>
    <t>ULTIMO DIVIDENDO PAGADO 1,15$, EL DIVIDENDO 1 YA SE BENEFICIARA CON EL CRECIMIENTO ANUAL MENCIONADO</t>
  </si>
  <si>
    <t>UNA ACCION DE SIMILAR RIESGO RINDE 13,4%</t>
  </si>
  <si>
    <t>MUESTRE QUE TAN SENSIBLE ES EL PRECIO ANTE CAMBIOS EN CADA UNA DE LAS VARIABLES DE LA ECUACION</t>
  </si>
  <si>
    <t>A QUE VARIABLE ES MAS SENSIBLE?</t>
  </si>
  <si>
    <t xml:space="preserve">UN COLEGA SUYO AFIRMA QUE CON CALCULAR EL VALOR PRESENTE DE LOS PRIMEROS 4 O 5 DIVIDENDOS </t>
  </si>
  <si>
    <t>Y SUMANDOLOS PORQUE LOS SIGUIENTES AL ESAR LEJOS PESAN POCO PARA CALCULAR EL PRECIO. ES CIERTO?</t>
  </si>
  <si>
    <t>CUÁL ES EL DIVIDEN YIELD Y EL CAPITAL GAINS DE UNA ACCIÓN CON  P=23, D1=1,24 g=8%</t>
  </si>
  <si>
    <t>QUÉ SIGNIFICAN DICHOS RENDIMIENTOS?</t>
  </si>
  <si>
    <t>SE PRONOSTICA QUE UNA ACCIÓN TENDRÁ CRECIMIENTO CONSTANTE DEL 30% POR LOS PROXIMOS 3 AÑOS,</t>
  </si>
  <si>
    <t>LUEGO CRECERÁ SOLAMENTE AL 8% ANUAL POR MUCHO MUCHOS AÑOS.</t>
  </si>
  <si>
    <t>EL PRIMER DIVIDENDO YA SE BENEFICIARÁ CON EL 30% DE CRECIMIENTO, EL ULTIMO DIVIDENDO QUE SE PAGÓ FUE 1,15$</t>
  </si>
  <si>
    <t xml:space="preserve">EL CUARTO DIVIDENDO SE CALCULARÁ YA CON EL CRECIMIENTO DEL 8%. </t>
  </si>
  <si>
    <t>EL COSTO DE OPORTUNIDAD SE ESTIMA EN 13,4%</t>
  </si>
  <si>
    <t>CALCULAR EL PRECIO DE LA ACCION</t>
  </si>
  <si>
    <t>UNA ACCION PREFERIDA, POR CONTRATO GARANTIZA UN RENDIMIENT0 DEL 10% PERPETUO</t>
  </si>
  <si>
    <t>EL DIVIDENDO PREVISTO ES 10$ CUÁL ES SU PRECIO?</t>
  </si>
  <si>
    <t xml:space="preserve"> </t>
  </si>
  <si>
    <t>VALUACION DE BONOS</t>
  </si>
  <si>
    <t>UN BONO CON MADUREZ EN 15 AÑOS CALCULA SUS CUPONES CON UN 10% DE SU VALOR NOMINAL DE 1000.</t>
  </si>
  <si>
    <t>EL COSTO DE OPORTUNIDAD ES 10% DE ACUERDO A SU RIESGO. CUÁL ES SU PRECIO?</t>
  </si>
  <si>
    <t>SI EL COSTO DE OPORTUNIDAD PASARA A SER DE 10% A 15 % Y LUEGO A 5% QUE OCURRE CON EL PRECIO Y PORQUÉ?</t>
  </si>
  <si>
    <t>CALCULE LA TIR DE UN BONO QUE CALCULA SUS CUPONES COMO EL 10% DE SU VALOR NOMINAL DE 1000.</t>
  </si>
  <si>
    <t>LA MADUREZ ES DE 14 AÑOS. SU PRECIO HOY ES DE  1494,93</t>
  </si>
  <si>
    <t xml:space="preserve">SABIENDO EL PRECIO Y EL VALOR NOMINAL PODRÍA YA ANTICIPAR SI LA TIR SERÁ MAYOR O MENOR QUE EL 10% CON EL </t>
  </si>
  <si>
    <t>QUE CALCULA LOS CUPONES?</t>
  </si>
  <si>
    <t>TIENE LA SIGUIENTE INFORMACIÓN PARA DOS BONOS COSTO DE OPORTUNIDADPARA AMBOS POR SIMPLICIDAD  10%</t>
  </si>
  <si>
    <t>BONO A</t>
  </si>
  <si>
    <t>INTERESES</t>
  </si>
  <si>
    <t>CAPITAL</t>
  </si>
  <si>
    <t>BONO B</t>
  </si>
  <si>
    <t xml:space="preserve">PARA CADA BONO ARME UN PROMEDIO PONDERADO DE LAS DISTANCIAS A HOY DE CADA FLUJO DESCONTADO. </t>
  </si>
  <si>
    <t>PONDERE CADA DISTANCIA CON EL FACTOR: (FLUJO DESCONTADO EN ESA FECHA/PRECIO DEL BONO)</t>
  </si>
  <si>
    <t>¿PARA QUE LE PODRÍA SERVIR CONOCER ESTA DISTANCIA DE CADA BONO? INVESTIGUE SI ESTA HERRAMIENTA O SIMILAR EXISTE EN LA INFO FINANCIERA</t>
  </si>
  <si>
    <t>INVESTIGACIÓN</t>
  </si>
  <si>
    <t>EXPLIQUE DETALLADAMENTE LA COMPRA DE DÓLAR MEP</t>
  </si>
  <si>
    <t>Ejercicio</t>
  </si>
  <si>
    <t>D1</t>
  </si>
  <si>
    <t>r</t>
  </si>
  <si>
    <t>g</t>
  </si>
  <si>
    <t>VP</t>
  </si>
  <si>
    <t>Ejercicio 2</t>
  </si>
  <si>
    <t>Sensibilidad</t>
  </si>
  <si>
    <t>Var. Nominal</t>
  </si>
  <si>
    <t>Var. Porcentual</t>
  </si>
  <si>
    <t>Variaciones</t>
  </si>
  <si>
    <t>Dividendo</t>
  </si>
  <si>
    <t>Precio (var. div.)</t>
  </si>
  <si>
    <t>Costo de Oportunidad</t>
  </si>
  <si>
    <t>Precio (var. r)</t>
  </si>
  <si>
    <t>Crecimiento Dividendos</t>
  </si>
  <si>
    <t>Precio (var. g)</t>
  </si>
  <si>
    <t>Precio Acción</t>
  </si>
  <si>
    <t>D</t>
  </si>
  <si>
    <t>Dn * (1 + g)^n / (1 + r)^n</t>
  </si>
  <si>
    <t>=&gt;</t>
  </si>
  <si>
    <t>Finito</t>
  </si>
  <si>
    <t>D1 / (r - g)</t>
  </si>
  <si>
    <t>Infinito</t>
  </si>
  <si>
    <t>P0</t>
  </si>
  <si>
    <t>P1</t>
  </si>
  <si>
    <t>Capital Gain</t>
  </si>
  <si>
    <t>Dividend Yield</t>
  </si>
  <si>
    <t>g1</t>
  </si>
  <si>
    <t>g2</t>
  </si>
  <si>
    <t>Periodo</t>
  </si>
  <si>
    <t>VP Div.</t>
  </si>
  <si>
    <t>VP Perp.</t>
  </si>
  <si>
    <t>VN</t>
  </si>
  <si>
    <t>M</t>
  </si>
  <si>
    <t>C</t>
  </si>
  <si>
    <t>C$</t>
  </si>
  <si>
    <t>Val. Desc Cupones</t>
  </si>
  <si>
    <t>Val. Desc Nominal</t>
  </si>
  <si>
    <t>PRECIO</t>
  </si>
  <si>
    <t>r1</t>
  </si>
  <si>
    <t>r2</t>
  </si>
  <si>
    <t>r3</t>
  </si>
  <si>
    <t>TIR</t>
  </si>
  <si>
    <t>VN1</t>
  </si>
  <si>
    <t>Precio</t>
  </si>
  <si>
    <t>Duration</t>
  </si>
  <si>
    <t>VN2</t>
  </si>
  <si>
    <t>Costo de oportunidad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</si>
</sst>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quot;$&quot;#,##0.00_);[Red]\(&quot;$&quot;#,##0.00\)"/>
    <numFmt numFmtId="165" formatCode="0.0%"/>
    <numFmt numFmtId="166" formatCode="0.000"/>
  </numFmts>
  <fonts count="14" x14ac:knownFonts="1">
    <font>
      <sz val="10"/>
      <color rgb="FF000000"/>
      <name val="Arial"/>
      <scheme val="minor"/>
    </font>
    <font>
      <sz val="10"/>
      <color theme="1"/>
      <name val="Arial"/>
      <family val="2"/>
    </font>
    <font>
      <b/>
      <sz val="10"/>
      <color theme="1"/>
      <name val="Times New Roman"/>
      <family val="1"/>
    </font>
    <font>
      <b/>
      <sz val="12"/>
      <color rgb="FF800000"/>
      <name val="Times New Roman"/>
      <family val="1"/>
    </font>
    <font>
      <b/>
      <sz val="10"/>
      <color rgb="FF000080"/>
      <name val="Times New Roman"/>
      <family val="1"/>
    </font>
    <font>
      <b/>
      <sz val="10"/>
      <color rgb="FF800000"/>
      <name val="Times New Roman"/>
      <family val="1"/>
    </font>
    <font>
      <b/>
      <sz val="10"/>
      <color rgb="FFFF0000"/>
      <name val="Times New Roman"/>
      <family val="1"/>
    </font>
    <font>
      <b/>
      <sz val="10"/>
      <color rgb="FF800080"/>
      <name val="Times New Roman"/>
      <family val="1"/>
    </font>
    <font>
      <b/>
      <sz val="10"/>
      <color rgb="FF008000"/>
      <name val="Times New Roman"/>
      <family val="1"/>
    </font>
    <font>
      <b/>
      <sz val="10"/>
      <color rgb="FF205867"/>
      <name val="Times New Roman"/>
      <family val="1"/>
    </font>
    <font>
      <b/>
      <sz val="10"/>
      <color theme="1"/>
      <name val="Arial Black"/>
      <family val="2"/>
    </font>
    <font>
      <sz val="10"/>
      <color rgb="FFFF0000"/>
      <name val="Arial"/>
      <family val="2"/>
    </font>
    <font>
      <sz val="10"/>
      <color theme="1"/>
      <name val="Arial"/>
      <family val="2"/>
      <scheme val="minor"/>
    </font>
    <font>
      <sz val="10"/>
      <name val="Arial"/>
      <family val="2"/>
    </font>
  </fonts>
  <fills count="4">
    <fill>
      <patternFill patternType="none"/>
    </fill>
    <fill>
      <patternFill patternType="gray125"/>
    </fill>
    <fill>
      <patternFill patternType="solid">
        <fgColor rgb="FFFFFF00"/>
        <bgColor rgb="FFFFFF00"/>
      </patternFill>
    </fill>
    <fill>
      <patternFill patternType="solid">
        <fgColor theme="0"/>
        <bgColor theme="0"/>
      </patternFill>
    </fill>
  </fills>
  <borders count="19">
    <border>
      <left/>
      <right/>
      <top/>
      <bottom/>
      <diagonal/>
    </border>
    <border>
      <left/>
      <right/>
      <top/>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top style="thin">
        <color rgb="FF000000"/>
      </top>
      <bottom/>
      <diagonal/>
    </border>
    <border>
      <left/>
      <right/>
      <top style="thin">
        <color rgb="FF000000"/>
      </top>
      <bottom/>
      <diagonal/>
    </border>
    <border>
      <left style="thin">
        <color rgb="FF000000"/>
      </left>
      <right/>
      <top/>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right/>
      <top/>
      <bottom style="thin">
        <color rgb="FF000000"/>
      </bottom>
      <diagonal/>
    </border>
    <border>
      <left/>
      <right/>
      <top/>
      <bottom/>
      <diagonal/>
    </border>
    <border>
      <left/>
      <right/>
      <top/>
      <bottom/>
      <diagonal/>
    </border>
    <border>
      <left/>
      <right/>
      <top/>
      <bottom/>
      <diagonal/>
    </border>
    <border>
      <left/>
      <right style="thin">
        <color rgb="FF000000"/>
      </right>
      <top/>
      <bottom/>
      <diagonal/>
    </border>
    <border>
      <left/>
      <right style="thin">
        <color rgb="FF000000"/>
      </right>
      <top/>
      <bottom style="thin">
        <color rgb="FF000000"/>
      </bottom>
      <diagonal/>
    </border>
    <border>
      <left/>
      <right style="thin">
        <color rgb="FF000000"/>
      </right>
      <top style="thin">
        <color rgb="FF000000"/>
      </top>
      <bottom/>
      <diagonal/>
    </border>
    <border>
      <left/>
      <right/>
      <top style="thin">
        <color rgb="FF000000"/>
      </top>
      <bottom style="thin">
        <color rgb="FF000000"/>
      </bottom>
      <diagonal/>
    </border>
  </borders>
  <cellStyleXfs count="1">
    <xf numFmtId="0" fontId="0" fillId="0" borderId="0"/>
  </cellStyleXfs>
  <cellXfs count="70">
    <xf numFmtId="0" fontId="0" fillId="0" borderId="0" xfId="0"/>
    <xf numFmtId="0" fontId="1" fillId="0" borderId="0" xfId="0" applyFont="1"/>
    <xf numFmtId="0" fontId="2" fillId="0" borderId="0" xfId="0" applyFont="1"/>
    <xf numFmtId="0" fontId="3" fillId="0" borderId="0" xfId="0" applyFont="1" applyAlignment="1">
      <alignment horizontal="center"/>
    </xf>
    <xf numFmtId="0" fontId="2" fillId="2" borderId="1" xfId="0" applyFont="1" applyFill="1" applyBorder="1"/>
    <xf numFmtId="0" fontId="5" fillId="0" borderId="0" xfId="0" applyFont="1"/>
    <xf numFmtId="0" fontId="4" fillId="0" borderId="0" xfId="0" applyFont="1"/>
    <xf numFmtId="0" fontId="4" fillId="2" borderId="1" xfId="0" applyFont="1" applyFill="1" applyBorder="1"/>
    <xf numFmtId="0" fontId="4" fillId="0" borderId="0" xfId="0" applyFont="1" applyAlignment="1">
      <alignment horizontal="left"/>
    </xf>
    <xf numFmtId="164" fontId="6" fillId="0" borderId="0" xfId="0" applyNumberFormat="1" applyFont="1" applyAlignment="1">
      <alignment horizontal="center"/>
    </xf>
    <xf numFmtId="0" fontId="2" fillId="0" borderId="0" xfId="0" applyFont="1" applyAlignment="1">
      <alignment horizontal="center"/>
    </xf>
    <xf numFmtId="0" fontId="4" fillId="2" borderId="1" xfId="0" applyFont="1" applyFill="1" applyBorder="1" applyAlignment="1">
      <alignment horizontal="left"/>
    </xf>
    <xf numFmtId="164" fontId="6" fillId="2" borderId="1" xfId="0" applyNumberFormat="1" applyFont="1" applyFill="1" applyBorder="1" applyAlignment="1">
      <alignment horizontal="center"/>
    </xf>
    <xf numFmtId="0" fontId="2" fillId="2" borderId="1" xfId="0" applyFont="1" applyFill="1" applyBorder="1" applyAlignment="1">
      <alignment horizontal="center"/>
    </xf>
    <xf numFmtId="10" fontId="2" fillId="2" borderId="1" xfId="0" applyNumberFormat="1" applyFont="1" applyFill="1" applyBorder="1" applyAlignment="1">
      <alignment horizontal="center"/>
    </xf>
    <xf numFmtId="0" fontId="7" fillId="0" borderId="0" xfId="0" applyFont="1" applyAlignment="1">
      <alignment horizontal="center"/>
    </xf>
    <xf numFmtId="0" fontId="8" fillId="2" borderId="1" xfId="0" applyFont="1" applyFill="1" applyBorder="1"/>
    <xf numFmtId="164" fontId="4" fillId="2" borderId="1" xfId="0" applyNumberFormat="1" applyFont="1" applyFill="1" applyBorder="1"/>
    <xf numFmtId="0" fontId="5" fillId="2" borderId="1" xfId="0" applyFont="1" applyFill="1" applyBorder="1"/>
    <xf numFmtId="0" fontId="9" fillId="0" borderId="0" xfId="0" applyFont="1" applyAlignment="1">
      <alignment horizontal="left"/>
    </xf>
    <xf numFmtId="0" fontId="9" fillId="0" borderId="0" xfId="0" applyFont="1"/>
    <xf numFmtId="1" fontId="2" fillId="0" borderId="0" xfId="0" applyNumberFormat="1" applyFont="1"/>
    <xf numFmtId="0" fontId="10" fillId="0" borderId="0" xfId="0" applyFont="1"/>
    <xf numFmtId="0" fontId="1" fillId="3" borderId="1" xfId="0" applyFont="1" applyFill="1" applyBorder="1"/>
    <xf numFmtId="0" fontId="1" fillId="3" borderId="2" xfId="0" applyFont="1" applyFill="1" applyBorder="1"/>
    <xf numFmtId="0" fontId="1" fillId="3" borderId="3" xfId="0" applyFont="1" applyFill="1" applyBorder="1"/>
    <xf numFmtId="0" fontId="1" fillId="3" borderId="4" xfId="0" applyFont="1" applyFill="1" applyBorder="1"/>
    <xf numFmtId="0" fontId="1" fillId="3" borderId="5" xfId="0" applyFont="1" applyFill="1" applyBorder="1"/>
    <xf numFmtId="165" fontId="1" fillId="3" borderId="5" xfId="0" applyNumberFormat="1" applyFont="1" applyFill="1" applyBorder="1"/>
    <xf numFmtId="0" fontId="11" fillId="3" borderId="2" xfId="0" applyFont="1" applyFill="1" applyBorder="1"/>
    <xf numFmtId="4" fontId="11" fillId="3" borderId="2" xfId="0" applyNumberFormat="1" applyFont="1" applyFill="1" applyBorder="1"/>
    <xf numFmtId="165" fontId="11" fillId="3" borderId="2" xfId="0" applyNumberFormat="1" applyFont="1" applyFill="1" applyBorder="1"/>
    <xf numFmtId="2" fontId="1" fillId="3" borderId="6" xfId="0" applyNumberFormat="1" applyFont="1" applyFill="1" applyBorder="1"/>
    <xf numFmtId="2" fontId="1" fillId="3" borderId="7" xfId="0" applyNumberFormat="1" applyFont="1" applyFill="1" applyBorder="1"/>
    <xf numFmtId="4" fontId="1" fillId="3" borderId="6" xfId="0" applyNumberFormat="1" applyFont="1" applyFill="1" applyBorder="1"/>
    <xf numFmtId="10" fontId="11" fillId="3" borderId="4" xfId="0" applyNumberFormat="1" applyFont="1" applyFill="1" applyBorder="1"/>
    <xf numFmtId="165" fontId="1" fillId="3" borderId="8" xfId="0" applyNumberFormat="1" applyFont="1" applyFill="1" applyBorder="1"/>
    <xf numFmtId="165" fontId="1" fillId="3" borderId="1" xfId="0" applyNumberFormat="1" applyFont="1" applyFill="1" applyBorder="1"/>
    <xf numFmtId="10" fontId="1" fillId="3" borderId="8" xfId="0" applyNumberFormat="1" applyFont="1" applyFill="1" applyBorder="1"/>
    <xf numFmtId="10" fontId="11" fillId="3" borderId="5" xfId="0" applyNumberFormat="1" applyFont="1" applyFill="1" applyBorder="1"/>
    <xf numFmtId="2" fontId="1" fillId="3" borderId="8" xfId="0" applyNumberFormat="1" applyFont="1" applyFill="1" applyBorder="1"/>
    <xf numFmtId="4" fontId="1" fillId="3" borderId="1" xfId="0" applyNumberFormat="1" applyFont="1" applyFill="1" applyBorder="1"/>
    <xf numFmtId="4" fontId="1" fillId="3" borderId="8" xfId="0" applyNumberFormat="1" applyFont="1" applyFill="1" applyBorder="1"/>
    <xf numFmtId="0" fontId="1" fillId="3" borderId="9" xfId="0" applyFont="1" applyFill="1" applyBorder="1"/>
    <xf numFmtId="4" fontId="1" fillId="3" borderId="10" xfId="0" applyNumberFormat="1" applyFont="1" applyFill="1" applyBorder="1"/>
    <xf numFmtId="4" fontId="1" fillId="3" borderId="11" xfId="0" applyNumberFormat="1" applyFont="1" applyFill="1" applyBorder="1"/>
    <xf numFmtId="10" fontId="1" fillId="3" borderId="9" xfId="0" applyNumberFormat="1" applyFont="1" applyFill="1" applyBorder="1"/>
    <xf numFmtId="2" fontId="1" fillId="3" borderId="10" xfId="0" applyNumberFormat="1" applyFont="1" applyFill="1" applyBorder="1"/>
    <xf numFmtId="0" fontId="12" fillId="0" borderId="0" xfId="0" applyFont="1"/>
    <xf numFmtId="0" fontId="1" fillId="3" borderId="1" xfId="0" quotePrefix="1" applyFont="1" applyFill="1" applyBorder="1"/>
    <xf numFmtId="4" fontId="11" fillId="3" borderId="1" xfId="0" applyNumberFormat="1" applyFont="1" applyFill="1" applyBorder="1"/>
    <xf numFmtId="10" fontId="11" fillId="3" borderId="2" xfId="0" applyNumberFormat="1" applyFont="1" applyFill="1" applyBorder="1"/>
    <xf numFmtId="165" fontId="1" fillId="3" borderId="9" xfId="0" applyNumberFormat="1" applyFont="1" applyFill="1" applyBorder="1"/>
    <xf numFmtId="0" fontId="11" fillId="3" borderId="1" xfId="0" applyFont="1" applyFill="1" applyBorder="1"/>
    <xf numFmtId="2" fontId="1" fillId="3" borderId="1" xfId="0" applyNumberFormat="1" applyFont="1" applyFill="1" applyBorder="1"/>
    <xf numFmtId="165" fontId="1" fillId="3" borderId="15" xfId="0" applyNumberFormat="1" applyFont="1" applyFill="1" applyBorder="1"/>
    <xf numFmtId="165" fontId="1" fillId="3" borderId="16" xfId="0" applyNumberFormat="1" applyFont="1" applyFill="1" applyBorder="1"/>
    <xf numFmtId="2" fontId="11" fillId="3" borderId="1" xfId="0" applyNumberFormat="1" applyFont="1" applyFill="1" applyBorder="1"/>
    <xf numFmtId="0" fontId="1" fillId="3" borderId="17" xfId="0" applyFont="1" applyFill="1" applyBorder="1"/>
    <xf numFmtId="0" fontId="1" fillId="3" borderId="18" xfId="0" applyFont="1" applyFill="1" applyBorder="1"/>
    <xf numFmtId="0" fontId="1" fillId="3" borderId="7" xfId="0" applyFont="1" applyFill="1" applyBorder="1"/>
    <xf numFmtId="0" fontId="1" fillId="3" borderId="11" xfId="0" applyFont="1" applyFill="1" applyBorder="1"/>
    <xf numFmtId="0" fontId="1" fillId="3" borderId="16" xfId="0" applyFont="1" applyFill="1" applyBorder="1"/>
    <xf numFmtId="166" fontId="11" fillId="3" borderId="1" xfId="0" applyNumberFormat="1" applyFont="1" applyFill="1" applyBorder="1"/>
    <xf numFmtId="0" fontId="3" fillId="0" borderId="0" xfId="0" applyFont="1" applyAlignment="1">
      <alignment horizontal="center"/>
    </xf>
    <xf numFmtId="0" fontId="0" fillId="0" borderId="0" xfId="0"/>
    <xf numFmtId="0" fontId="4" fillId="0" borderId="0" xfId="0" applyFont="1" applyAlignment="1">
      <alignment horizontal="left" wrapText="1"/>
    </xf>
    <xf numFmtId="0" fontId="1" fillId="3" borderId="12" xfId="0" applyFont="1" applyFill="1" applyBorder="1" applyAlignment="1">
      <alignment horizontal="center"/>
    </xf>
    <xf numFmtId="0" fontId="13" fillId="0" borderId="13" xfId="0" applyFont="1" applyBorder="1"/>
    <xf numFmtId="0" fontId="13" fillId="0" borderId="14" xfId="0" applyFont="1" applyBorder="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customschemas.google.com/relationships/workbookmetadata" Target="metadata"/></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000" b="0" i="0">
                <a:solidFill>
                  <a:srgbClr val="757575"/>
                </a:solidFill>
                <a:latin typeface="Calibri"/>
              </a:defRPr>
            </a:pPr>
            <a:r>
              <a:rPr lang="es-AR" sz="1000" b="0" i="0">
                <a:solidFill>
                  <a:srgbClr val="757575"/>
                </a:solidFill>
                <a:latin typeface="Calibri"/>
              </a:rPr>
              <a:t>Evolución de los componentes del modelo según una variación del 10% de Precio</a:t>
            </a:r>
          </a:p>
        </c:rich>
      </c:tx>
      <c:overlay val="0"/>
    </c:title>
    <c:autoTitleDeleted val="0"/>
    <c:plotArea>
      <c:layout/>
      <c:barChart>
        <c:barDir val="col"/>
        <c:grouping val="clustered"/>
        <c:varyColors val="1"/>
        <c:ser>
          <c:idx val="0"/>
          <c:order val="0"/>
          <c:tx>
            <c:v>Dividendo</c:v>
          </c:tx>
          <c:spPr>
            <a:solidFill>
              <a:schemeClr val="accent1"/>
            </a:solidFill>
            <a:ln cmpd="sng">
              <a:solidFill>
                <a:srgbClr val="000000"/>
              </a:solidFill>
            </a:ln>
          </c:spPr>
          <c:invertIfNegative val="1"/>
          <c:dLbls>
            <c:spPr>
              <a:noFill/>
              <a:ln>
                <a:noFill/>
              </a:ln>
              <a:effectLst/>
            </c:spPr>
            <c:txPr>
              <a:bodyPr/>
              <a:lstStyle/>
              <a:p>
                <a:pPr lvl="0">
                  <a:defRPr sz="900" b="0" i="0">
                    <a:latin typeface="Calibri"/>
                  </a:defRPr>
                </a:pPr>
                <a:endParaRPr lang="es-A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'Ejercicio 1 y 2'!$E$8</c:f>
              <c:numCache>
                <c:formatCode>0.00%</c:formatCode>
                <c:ptCount val="1"/>
                <c:pt idx="0">
                  <c:v>0.10000000000000009</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0-17E2-49CE-A64D-29125722ABC9}"/>
            </c:ext>
          </c:extLst>
        </c:ser>
        <c:ser>
          <c:idx val="1"/>
          <c:order val="1"/>
          <c:tx>
            <c:v>Costo de Oportunidad</c:v>
          </c:tx>
          <c:spPr>
            <a:solidFill>
              <a:schemeClr val="accent2"/>
            </a:solidFill>
            <a:ln cmpd="sng">
              <a:solidFill>
                <a:srgbClr val="000000"/>
              </a:solidFill>
            </a:ln>
          </c:spPr>
          <c:invertIfNegative val="1"/>
          <c:dLbls>
            <c:spPr>
              <a:noFill/>
              <a:ln>
                <a:noFill/>
              </a:ln>
              <a:effectLst/>
            </c:spPr>
            <c:txPr>
              <a:bodyPr/>
              <a:lstStyle/>
              <a:p>
                <a:pPr lvl="0">
                  <a:defRPr sz="900" b="0" i="0">
                    <a:latin typeface="Calibri"/>
                  </a:defRPr>
                </a:pPr>
                <a:endParaRPr lang="es-A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'Ejercicio 1 y 2'!$E$9</c:f>
              <c:numCache>
                <c:formatCode>0.00%</c:formatCode>
                <c:ptCount val="1"/>
                <c:pt idx="0">
                  <c:v>-7.3270013568520476E-3</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1-17E2-49CE-A64D-29125722ABC9}"/>
            </c:ext>
          </c:extLst>
        </c:ser>
        <c:ser>
          <c:idx val="2"/>
          <c:order val="2"/>
          <c:tx>
            <c:v>Crecimiento Dividendos</c:v>
          </c:tx>
          <c:spPr>
            <a:solidFill>
              <a:schemeClr val="accent3"/>
            </a:solidFill>
            <a:ln cmpd="sng">
              <a:solidFill>
                <a:srgbClr val="000000"/>
              </a:solidFill>
            </a:ln>
          </c:spPr>
          <c:invertIfNegative val="1"/>
          <c:dLbls>
            <c:spPr>
              <a:noFill/>
              <a:ln>
                <a:noFill/>
              </a:ln>
              <a:effectLst/>
            </c:spPr>
            <c:txPr>
              <a:bodyPr/>
              <a:lstStyle/>
              <a:p>
                <a:pPr lvl="0">
                  <a:defRPr sz="900" b="0" i="0">
                    <a:latin typeface="Calibri"/>
                  </a:defRPr>
                </a:pPr>
                <a:endParaRPr lang="es-A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'Ejercicio 1 y 2'!$E$10</c:f>
              <c:numCache>
                <c:formatCode>0.00%</c:formatCode>
                <c:ptCount val="1"/>
                <c:pt idx="0">
                  <c:v>1.2272727272727213E-2</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2-17E2-49CE-A64D-29125722ABC9}"/>
            </c:ext>
          </c:extLst>
        </c:ser>
        <c:dLbls>
          <c:showLegendKey val="0"/>
          <c:showVal val="0"/>
          <c:showCatName val="0"/>
          <c:showSerName val="0"/>
          <c:showPercent val="0"/>
          <c:showBubbleSize val="0"/>
        </c:dLbls>
        <c:gapWidth val="150"/>
        <c:axId val="546153101"/>
        <c:axId val="1309099048"/>
      </c:barChart>
      <c:catAx>
        <c:axId val="546153101"/>
        <c:scaling>
          <c:orientation val="minMax"/>
        </c:scaling>
        <c:delete val="0"/>
        <c:axPos val="b"/>
        <c:title>
          <c:tx>
            <c:rich>
              <a:bodyPr/>
              <a:lstStyle/>
              <a:p>
                <a:pPr lvl="0">
                  <a:defRPr b="0">
                    <a:solidFill>
                      <a:srgbClr val="000000"/>
                    </a:solidFill>
                    <a:latin typeface="+mn-lt"/>
                  </a:defRPr>
                </a:pPr>
                <a:endParaRPr lang="es-AR"/>
              </a:p>
            </c:rich>
          </c:tx>
          <c:overlay val="0"/>
        </c:title>
        <c:numFmt formatCode="General" sourceLinked="1"/>
        <c:majorTickMark val="none"/>
        <c:minorTickMark val="none"/>
        <c:tickLblPos val="nextTo"/>
        <c:txPr>
          <a:bodyPr/>
          <a:lstStyle/>
          <a:p>
            <a:pPr lvl="0">
              <a:defRPr sz="900" b="0" i="0">
                <a:solidFill>
                  <a:srgbClr val="000000"/>
                </a:solidFill>
                <a:latin typeface="Calibri"/>
              </a:defRPr>
            </a:pPr>
            <a:endParaRPr lang="es-AR"/>
          </a:p>
        </c:txPr>
        <c:crossAx val="1309099048"/>
        <c:crosses val="autoZero"/>
        <c:auto val="1"/>
        <c:lblAlgn val="ctr"/>
        <c:lblOffset val="100"/>
        <c:noMultiLvlLbl val="1"/>
      </c:catAx>
      <c:valAx>
        <c:axId val="1309099048"/>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lang="es-AR"/>
              </a:p>
            </c:rich>
          </c:tx>
          <c:overlay val="0"/>
        </c:title>
        <c:numFmt formatCode="0.00%" sourceLinked="1"/>
        <c:majorTickMark val="none"/>
        <c:minorTickMark val="none"/>
        <c:tickLblPos val="nextTo"/>
        <c:spPr>
          <a:ln/>
        </c:spPr>
        <c:txPr>
          <a:bodyPr/>
          <a:lstStyle/>
          <a:p>
            <a:pPr lvl="0">
              <a:defRPr sz="900" b="0" i="0">
                <a:solidFill>
                  <a:srgbClr val="000000"/>
                </a:solidFill>
                <a:latin typeface="Calibri"/>
              </a:defRPr>
            </a:pPr>
            <a:endParaRPr lang="es-AR"/>
          </a:p>
        </c:txPr>
        <c:crossAx val="546153101"/>
        <c:crosses val="autoZero"/>
        <c:crossBetween val="between"/>
        <c:majorUnit val="5.000000000000001E-2"/>
      </c:valAx>
    </c:plotArea>
    <c:legend>
      <c:legendPos val="b"/>
      <c:layout>
        <c:manualLayout>
          <c:xMode val="edge"/>
          <c:yMode val="edge"/>
          <c:x val="4.4771604938271599E-2"/>
          <c:y val="0.78770158730158735"/>
        </c:manualLayout>
      </c:layout>
      <c:overlay val="0"/>
      <c:txPr>
        <a:bodyPr/>
        <a:lstStyle/>
        <a:p>
          <a:pPr lvl="0">
            <a:defRPr sz="900" b="0" i="0">
              <a:solidFill>
                <a:srgbClr val="1A1A1A"/>
              </a:solidFill>
              <a:latin typeface="Calibri"/>
            </a:defRPr>
          </a:pPr>
          <a:endParaRPr lang="es-AR"/>
        </a:p>
      </c:txPr>
    </c:legend>
    <c:plotVisOnly val="1"/>
    <c:dispBlanksAs val="zero"/>
    <c:showDLblsOverMax val="1"/>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000" b="0" i="0">
                <a:solidFill>
                  <a:srgbClr val="757575"/>
                </a:solidFill>
                <a:latin typeface="Calibri"/>
              </a:defRPr>
            </a:pPr>
            <a:r>
              <a:rPr lang="es-AR" sz="1000" b="0" i="0">
                <a:solidFill>
                  <a:srgbClr val="757575"/>
                </a:solidFill>
                <a:latin typeface="Calibri"/>
              </a:rPr>
              <a:t>Sensibilidad del Precio a variaciones de 10% en componentes</a:t>
            </a:r>
          </a:p>
        </c:rich>
      </c:tx>
      <c:overlay val="0"/>
    </c:title>
    <c:autoTitleDeleted val="0"/>
    <c:plotArea>
      <c:layout/>
      <c:barChart>
        <c:barDir val="col"/>
        <c:grouping val="clustered"/>
        <c:varyColors val="1"/>
        <c:ser>
          <c:idx val="0"/>
          <c:order val="0"/>
          <c:tx>
            <c:v>Precio (var. div.)</c:v>
          </c:tx>
          <c:spPr>
            <a:solidFill>
              <a:schemeClr val="accent1"/>
            </a:solidFill>
            <a:ln cmpd="sng">
              <a:solidFill>
                <a:srgbClr val="000000"/>
              </a:solidFill>
            </a:ln>
          </c:spPr>
          <c:invertIfNegative val="1"/>
          <c:dLbls>
            <c:spPr>
              <a:noFill/>
              <a:ln>
                <a:noFill/>
              </a:ln>
              <a:effectLst/>
            </c:spPr>
            <c:txPr>
              <a:bodyPr/>
              <a:lstStyle/>
              <a:p>
                <a:pPr lvl="0">
                  <a:defRPr sz="900" b="0" i="0">
                    <a:latin typeface="Calibri"/>
                  </a:defRPr>
                </a:pPr>
                <a:endParaRPr lang="es-A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'Ejercicio 1 y 2'!$N$8</c:f>
              <c:numCache>
                <c:formatCode>0.00%</c:formatCode>
                <c:ptCount val="1"/>
                <c:pt idx="0">
                  <c:v>0.10000000000000009</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0-AD3D-406A-AE0C-6D7AFFE3C902}"/>
            </c:ext>
          </c:extLst>
        </c:ser>
        <c:ser>
          <c:idx val="1"/>
          <c:order val="1"/>
          <c:tx>
            <c:v>Precio (var. r)</c:v>
          </c:tx>
          <c:spPr>
            <a:solidFill>
              <a:schemeClr val="accent2"/>
            </a:solidFill>
            <a:ln cmpd="sng">
              <a:solidFill>
                <a:srgbClr val="000000"/>
              </a:solidFill>
            </a:ln>
          </c:spPr>
          <c:invertIfNegative val="1"/>
          <c:dLbls>
            <c:spPr>
              <a:noFill/>
              <a:ln>
                <a:noFill/>
              </a:ln>
              <a:effectLst/>
            </c:spPr>
            <c:txPr>
              <a:bodyPr/>
              <a:lstStyle/>
              <a:p>
                <a:pPr lvl="0">
                  <a:defRPr sz="900" b="0" i="0">
                    <a:latin typeface="Calibri"/>
                  </a:defRPr>
                </a:pPr>
                <a:endParaRPr lang="es-A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'Ejercicio 1 y 2'!$N$9</c:f>
              <c:numCache>
                <c:formatCode>0.00%</c:formatCode>
                <c:ptCount val="1"/>
                <c:pt idx="0">
                  <c:v>-0.19881305637982216</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1-AD3D-406A-AE0C-6D7AFFE3C902}"/>
            </c:ext>
          </c:extLst>
        </c:ser>
        <c:ser>
          <c:idx val="2"/>
          <c:order val="2"/>
          <c:tx>
            <c:v>Precio (var. g)</c:v>
          </c:tx>
          <c:spPr>
            <a:solidFill>
              <a:schemeClr val="accent3"/>
            </a:solidFill>
            <a:ln cmpd="sng">
              <a:solidFill>
                <a:srgbClr val="000000"/>
              </a:solidFill>
            </a:ln>
          </c:spPr>
          <c:invertIfNegative val="1"/>
          <c:dLbls>
            <c:spPr>
              <a:noFill/>
              <a:ln>
                <a:noFill/>
              </a:ln>
              <a:effectLst/>
            </c:spPr>
            <c:txPr>
              <a:bodyPr/>
              <a:lstStyle/>
              <a:p>
                <a:pPr lvl="0">
                  <a:defRPr sz="900" b="0" i="0">
                    <a:latin typeface="Calibri"/>
                  </a:defRPr>
                </a:pPr>
                <a:endParaRPr lang="es-A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'Ejercicio 1 y 2'!$N$10</c:f>
              <c:numCache>
                <c:formatCode>0.00%</c:formatCode>
                <c:ptCount val="1"/>
                <c:pt idx="0">
                  <c:v>0.17391304347826098</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2-AD3D-406A-AE0C-6D7AFFE3C902}"/>
            </c:ext>
          </c:extLst>
        </c:ser>
        <c:dLbls>
          <c:showLegendKey val="0"/>
          <c:showVal val="0"/>
          <c:showCatName val="0"/>
          <c:showSerName val="0"/>
          <c:showPercent val="0"/>
          <c:showBubbleSize val="0"/>
        </c:dLbls>
        <c:gapWidth val="150"/>
        <c:axId val="1366861860"/>
        <c:axId val="1029284275"/>
      </c:barChart>
      <c:catAx>
        <c:axId val="1366861860"/>
        <c:scaling>
          <c:orientation val="minMax"/>
        </c:scaling>
        <c:delete val="0"/>
        <c:axPos val="b"/>
        <c:title>
          <c:tx>
            <c:rich>
              <a:bodyPr/>
              <a:lstStyle/>
              <a:p>
                <a:pPr lvl="0">
                  <a:defRPr b="0">
                    <a:solidFill>
                      <a:srgbClr val="000000"/>
                    </a:solidFill>
                    <a:latin typeface="+mn-lt"/>
                  </a:defRPr>
                </a:pPr>
                <a:endParaRPr lang="es-AR"/>
              </a:p>
            </c:rich>
          </c:tx>
          <c:overlay val="0"/>
        </c:title>
        <c:numFmt formatCode="General" sourceLinked="1"/>
        <c:majorTickMark val="none"/>
        <c:minorTickMark val="none"/>
        <c:tickLblPos val="nextTo"/>
        <c:txPr>
          <a:bodyPr/>
          <a:lstStyle/>
          <a:p>
            <a:pPr lvl="0">
              <a:defRPr sz="900" b="0" i="0">
                <a:solidFill>
                  <a:srgbClr val="000000"/>
                </a:solidFill>
                <a:latin typeface="Calibri"/>
              </a:defRPr>
            </a:pPr>
            <a:endParaRPr lang="es-AR"/>
          </a:p>
        </c:txPr>
        <c:crossAx val="1029284275"/>
        <c:crosses val="autoZero"/>
        <c:auto val="1"/>
        <c:lblAlgn val="ctr"/>
        <c:lblOffset val="100"/>
        <c:noMultiLvlLbl val="1"/>
      </c:catAx>
      <c:valAx>
        <c:axId val="1029284275"/>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lang="es-AR"/>
              </a:p>
            </c:rich>
          </c:tx>
          <c:overlay val="0"/>
        </c:title>
        <c:numFmt formatCode="0.00%" sourceLinked="1"/>
        <c:majorTickMark val="none"/>
        <c:minorTickMark val="none"/>
        <c:tickLblPos val="nextTo"/>
        <c:spPr>
          <a:ln/>
        </c:spPr>
        <c:txPr>
          <a:bodyPr/>
          <a:lstStyle/>
          <a:p>
            <a:pPr lvl="0">
              <a:defRPr sz="900" b="0" i="0">
                <a:solidFill>
                  <a:srgbClr val="000000"/>
                </a:solidFill>
                <a:latin typeface="Calibri"/>
              </a:defRPr>
            </a:pPr>
            <a:endParaRPr lang="es-AR"/>
          </a:p>
        </c:txPr>
        <c:crossAx val="1366861860"/>
        <c:crosses val="autoZero"/>
        <c:crossBetween val="between"/>
        <c:majorUnit val="5.000000000000001E-2"/>
      </c:valAx>
    </c:plotArea>
    <c:legend>
      <c:legendPos val="b"/>
      <c:layout>
        <c:manualLayout>
          <c:xMode val="edge"/>
          <c:yMode val="edge"/>
          <c:x val="0.15116904761904762"/>
          <c:y val="0.80723095238095233"/>
        </c:manualLayout>
      </c:layout>
      <c:overlay val="0"/>
      <c:txPr>
        <a:bodyPr/>
        <a:lstStyle/>
        <a:p>
          <a:pPr lvl="0">
            <a:defRPr sz="900" b="0" i="0">
              <a:solidFill>
                <a:srgbClr val="1A1A1A"/>
              </a:solidFill>
              <a:latin typeface="Calibri"/>
            </a:defRPr>
          </a:pPr>
          <a:endParaRPr lang="es-AR"/>
        </a:p>
      </c:txPr>
    </c:legend>
    <c:plotVisOnly val="1"/>
    <c:dispBlanksAs val="zero"/>
    <c:showDLblsOverMax val="1"/>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000" b="0" i="0">
                <a:solidFill>
                  <a:srgbClr val="757575"/>
                </a:solidFill>
                <a:latin typeface="Calibri"/>
              </a:defRPr>
            </a:pPr>
            <a:r>
              <a:rPr lang="es-AR" sz="1000" b="0" i="0">
                <a:solidFill>
                  <a:srgbClr val="757575"/>
                </a:solidFill>
                <a:latin typeface="Calibri"/>
              </a:rPr>
              <a:t>Sumatoria de Dividendos Descontados por Periodo</a:t>
            </a:r>
          </a:p>
        </c:rich>
      </c:tx>
      <c:overlay val="0"/>
    </c:title>
    <c:autoTitleDeleted val="0"/>
    <c:plotArea>
      <c:layout/>
      <c:lineChart>
        <c:grouping val="standard"/>
        <c:varyColors val="1"/>
        <c:ser>
          <c:idx val="0"/>
          <c:order val="0"/>
          <c:tx>
            <c:v>Sumatoria Dividendos Descontados</c:v>
          </c:tx>
          <c:spPr>
            <a:ln w="28575" cmpd="sng">
              <a:solidFill>
                <a:schemeClr val="accent3"/>
              </a:solidFill>
            </a:ln>
          </c:spPr>
          <c:marker>
            <c:symbol val="none"/>
          </c:marker>
          <c:val>
            <c:numRef>
              <c:f>'Ejercicio 3'!$A$9:$CV$9</c:f>
              <c:numCache>
                <c:formatCode>#,##0.00</c:formatCode>
                <c:ptCount val="100"/>
                <c:pt idx="0">
                  <c:v>1.0952380952380953</c:v>
                </c:pt>
                <c:pt idx="1">
                  <c:v>2.1383219954648531</c:v>
                </c:pt>
                <c:pt idx="2">
                  <c:v>3.1317352337760509</c:v>
                </c:pt>
                <c:pt idx="3">
                  <c:v>4.0778430797867156</c:v>
                </c:pt>
                <c:pt idx="4">
                  <c:v>4.9788981712254436</c:v>
                </c:pt>
                <c:pt idx="5">
                  <c:v>5.837045877357566</c:v>
                </c:pt>
                <c:pt idx="6">
                  <c:v>6.6543294070072063</c:v>
                </c:pt>
                <c:pt idx="7">
                  <c:v>7.4326946733401975</c:v>
                </c:pt>
                <c:pt idx="8">
                  <c:v>8.173994926990666</c:v>
                </c:pt>
                <c:pt idx="9">
                  <c:v>8.8799951685625391</c:v>
                </c:pt>
                <c:pt idx="10">
                  <c:v>9.5523763510119437</c:v>
                </c:pt>
                <c:pt idx="11">
                  <c:v>10.192739381916137</c:v>
                </c:pt>
                <c:pt idx="12">
                  <c:v>10.802608935158228</c:v>
                </c:pt>
                <c:pt idx="13">
                  <c:v>11.383437081103075</c:v>
                </c:pt>
                <c:pt idx="14">
                  <c:v>11.936606743907692</c:v>
                </c:pt>
                <c:pt idx="15">
                  <c:v>12.463434994197803</c:v>
                </c:pt>
                <c:pt idx="16">
                  <c:v>12.965176184950289</c:v>
                </c:pt>
                <c:pt idx="17">
                  <c:v>13.443024938047897</c:v>
                </c:pt>
                <c:pt idx="18">
                  <c:v>13.898118988617046</c:v>
                </c:pt>
                <c:pt idx="19">
                  <c:v>14.331541893920997</c:v>
                </c:pt>
                <c:pt idx="20">
                  <c:v>14.744325613258095</c:v>
                </c:pt>
                <c:pt idx="21">
                  <c:v>15.137452965007711</c:v>
                </c:pt>
                <c:pt idx="22">
                  <c:v>15.511859966674011</c:v>
                </c:pt>
                <c:pt idx="23">
                  <c:v>15.86843806349906</c:v>
                </c:pt>
                <c:pt idx="24">
                  <c:v>16.208036250951487</c:v>
                </c:pt>
                <c:pt idx="25">
                  <c:v>16.531463096144275</c:v>
                </c:pt>
                <c:pt idx="26">
                  <c:v>16.839488662994551</c:v>
                </c:pt>
                <c:pt idx="27">
                  <c:v>17.132846345709098</c:v>
                </c:pt>
                <c:pt idx="28">
                  <c:v>17.412234614961047</c:v>
                </c:pt>
                <c:pt idx="29">
                  <c:v>17.678318680915286</c:v>
                </c:pt>
                <c:pt idx="30">
                  <c:v>17.931732077062179</c:v>
                </c:pt>
                <c:pt idx="31">
                  <c:v>18.173078168630649</c:v>
                </c:pt>
                <c:pt idx="32">
                  <c:v>18.402931589172049</c:v>
                </c:pt>
                <c:pt idx="33">
                  <c:v>18.621839608735286</c:v>
                </c:pt>
                <c:pt idx="34">
                  <c:v>18.830323436890751</c:v>
                </c:pt>
                <c:pt idx="35">
                  <c:v>19.028879463705479</c:v>
                </c:pt>
                <c:pt idx="36">
                  <c:v>19.217980441624267</c:v>
                </c:pt>
                <c:pt idx="37">
                  <c:v>19.398076611070731</c:v>
                </c:pt>
                <c:pt idx="38">
                  <c:v>19.569596772448318</c:v>
                </c:pt>
                <c:pt idx="39">
                  <c:v>19.732949307093637</c:v>
                </c:pt>
                <c:pt idx="40">
                  <c:v>19.88852314961299</c:v>
                </c:pt>
                <c:pt idx="41">
                  <c:v>20.036688713917137</c:v>
                </c:pt>
                <c:pt idx="42">
                  <c:v>20.177798775159179</c:v>
                </c:pt>
                <c:pt idx="43">
                  <c:v>20.312189309675411</c:v>
                </c:pt>
                <c:pt idx="44">
                  <c:v>20.440180294928965</c:v>
                </c:pt>
                <c:pt idx="45">
                  <c:v>20.562076471360921</c:v>
                </c:pt>
                <c:pt idx="46">
                  <c:v>20.678168067962783</c:v>
                </c:pt>
                <c:pt idx="47">
                  <c:v>20.788731493297892</c:v>
                </c:pt>
                <c:pt idx="48">
                  <c:v>20.894029993617043</c:v>
                </c:pt>
                <c:pt idx="49">
                  <c:v>20.99431427963528</c:v>
                </c:pt>
                <c:pt idx="50">
                  <c:v>21.089823123462175</c:v>
                </c:pt>
                <c:pt idx="51">
                  <c:v>21.180783927106834</c:v>
                </c:pt>
                <c:pt idx="52">
                  <c:v>21.267413263911273</c:v>
                </c:pt>
                <c:pt idx="53">
                  <c:v>21.349917394201213</c:v>
                </c:pt>
                <c:pt idx="54">
                  <c:v>21.428492756382109</c:v>
                </c:pt>
                <c:pt idx="55">
                  <c:v>21.50332643464963</c:v>
                </c:pt>
                <c:pt idx="56">
                  <c:v>21.574596604428219</c:v>
                </c:pt>
                <c:pt idx="57">
                  <c:v>21.642472956598304</c:v>
                </c:pt>
                <c:pt idx="58">
                  <c:v>21.707117101522197</c:v>
                </c:pt>
                <c:pt idx="59">
                  <c:v>21.768682953830666</c:v>
                </c:pt>
                <c:pt idx="60">
                  <c:v>21.827317098886351</c:v>
                </c:pt>
                <c:pt idx="61">
                  <c:v>21.883159141796526</c:v>
                </c:pt>
                <c:pt idx="62">
                  <c:v>21.936342039806217</c:v>
                </c:pt>
                <c:pt idx="63">
                  <c:v>21.986992418863064</c:v>
                </c:pt>
                <c:pt idx="64">
                  <c:v>22.035230875107683</c:v>
                </c:pt>
                <c:pt idx="65">
                  <c:v>22.081172262007318</c:v>
                </c:pt>
                <c:pt idx="66">
                  <c:v>22.124925963816494</c:v>
                </c:pt>
                <c:pt idx="67">
                  <c:v>22.166596156015711</c:v>
                </c:pt>
                <c:pt idx="68">
                  <c:v>22.206282053348296</c:v>
                </c:pt>
                <c:pt idx="69">
                  <c:v>22.244078146045997</c:v>
                </c:pt>
                <c:pt idx="70">
                  <c:v>22.280074424805711</c:v>
                </c:pt>
                <c:pt idx="71">
                  <c:v>22.314356595053059</c:v>
                </c:pt>
                <c:pt idx="72">
                  <c:v>22.347006281002916</c:v>
                </c:pt>
                <c:pt idx="73">
                  <c:v>22.37810122000278</c:v>
                </c:pt>
                <c:pt idx="74">
                  <c:v>22.407715447621698</c:v>
                </c:pt>
                <c:pt idx="75">
                  <c:v>22.435919473925427</c:v>
                </c:pt>
                <c:pt idx="76">
                  <c:v>22.462780451357553</c:v>
                </c:pt>
                <c:pt idx="77">
                  <c:v>22.488362334626242</c:v>
                </c:pt>
                <c:pt idx="78">
                  <c:v>22.512726032977376</c:v>
                </c:pt>
                <c:pt idx="79">
                  <c:v>22.535929555216551</c:v>
                </c:pt>
                <c:pt idx="80">
                  <c:v>22.55802814782529</c:v>
                </c:pt>
                <c:pt idx="81">
                  <c:v>22.579074426500277</c:v>
                </c:pt>
                <c:pt idx="82">
                  <c:v>22.599118501428837</c:v>
                </c:pt>
                <c:pt idx="83">
                  <c:v>22.618208096598895</c:v>
                </c:pt>
                <c:pt idx="84">
                  <c:v>22.636388663427521</c:v>
                </c:pt>
                <c:pt idx="85">
                  <c:v>22.653703488978593</c:v>
                </c:pt>
                <c:pt idx="86">
                  <c:v>22.670193799027235</c:v>
                </c:pt>
                <c:pt idx="87">
                  <c:v>22.685898856216415</c:v>
                </c:pt>
                <c:pt idx="88">
                  <c:v>22.700856053539443</c:v>
                </c:pt>
                <c:pt idx="89">
                  <c:v>22.715101003370901</c:v>
                </c:pt>
                <c:pt idx="90">
                  <c:v>22.728667622258001</c:v>
                </c:pt>
                <c:pt idx="91">
                  <c:v>22.741588211674287</c:v>
                </c:pt>
                <c:pt idx="92">
                  <c:v>22.753893534927894</c:v>
                </c:pt>
                <c:pt idx="93">
                  <c:v>22.765612890407521</c:v>
                </c:pt>
                <c:pt idx="94">
                  <c:v>22.7767741813405</c:v>
                </c:pt>
                <c:pt idx="95">
                  <c:v>22.787403982229048</c:v>
                </c:pt>
                <c:pt idx="96">
                  <c:v>22.797527602122905</c:v>
                </c:pt>
                <c:pt idx="97">
                  <c:v>22.807169144878959</c:v>
                </c:pt>
                <c:pt idx="98">
                  <c:v>22.81635156655139</c:v>
                </c:pt>
                <c:pt idx="99">
                  <c:v>22.825096730048944</c:v>
                </c:pt>
              </c:numCache>
            </c:numRef>
          </c:val>
          <c:smooth val="0"/>
          <c:extLst>
            <c:ext xmlns:c16="http://schemas.microsoft.com/office/drawing/2014/chart" uri="{C3380CC4-5D6E-409C-BE32-E72D297353CC}">
              <c16:uniqueId val="{00000000-D839-4399-A38C-33D996F584EE}"/>
            </c:ext>
          </c:extLst>
        </c:ser>
        <c:ser>
          <c:idx val="1"/>
          <c:order val="1"/>
          <c:tx>
            <c:v>Dividendo Descontado del Periodo</c:v>
          </c:tx>
          <c:spPr>
            <a:ln w="28575" cmpd="sng">
              <a:solidFill>
                <a:schemeClr val="accent2"/>
              </a:solidFill>
            </a:ln>
          </c:spPr>
          <c:marker>
            <c:symbol val="none"/>
          </c:marker>
          <c:val>
            <c:numRef>
              <c:f>'Ejercicio 3'!$A$8:$CV$8</c:f>
              <c:numCache>
                <c:formatCode>#,##0.00</c:formatCode>
                <c:ptCount val="100"/>
                <c:pt idx="0">
                  <c:v>1.0952380952380953</c:v>
                </c:pt>
                <c:pt idx="1">
                  <c:v>1.0430839002267576</c:v>
                </c:pt>
                <c:pt idx="2">
                  <c:v>0.99341323831119765</c:v>
                </c:pt>
                <c:pt idx="3">
                  <c:v>0.94610784601066467</c:v>
                </c:pt>
                <c:pt idx="4">
                  <c:v>0.90105509143872831</c:v>
                </c:pt>
                <c:pt idx="5">
                  <c:v>0.85814770613212232</c:v>
                </c:pt>
                <c:pt idx="6">
                  <c:v>0.81728352964964046</c:v>
                </c:pt>
                <c:pt idx="7">
                  <c:v>0.77836526633299086</c:v>
                </c:pt>
                <c:pt idx="8">
                  <c:v>0.74130025365046759</c:v>
                </c:pt>
                <c:pt idx="9">
                  <c:v>0.70600024157187391</c:v>
                </c:pt>
                <c:pt idx="10">
                  <c:v>0.67238118244940381</c:v>
                </c:pt>
                <c:pt idx="11">
                  <c:v>0.64036303090419411</c:v>
                </c:pt>
                <c:pt idx="12">
                  <c:v>0.60986955324208969</c:v>
                </c:pt>
                <c:pt idx="13">
                  <c:v>0.58082814594484755</c:v>
                </c:pt>
                <c:pt idx="14">
                  <c:v>0.55316966280461677</c:v>
                </c:pt>
                <c:pt idx="15">
                  <c:v>0.52682825029011116</c:v>
                </c:pt>
                <c:pt idx="16">
                  <c:v>0.5017411907524868</c:v>
                </c:pt>
                <c:pt idx="17">
                  <c:v>0.47784875309760655</c:v>
                </c:pt>
                <c:pt idx="18">
                  <c:v>0.45509405056914926</c:v>
                </c:pt>
                <c:pt idx="19">
                  <c:v>0.43342290530395161</c:v>
                </c:pt>
                <c:pt idx="20">
                  <c:v>0.41278371933709684</c:v>
                </c:pt>
                <c:pt idx="21">
                  <c:v>0.39312735174961611</c:v>
                </c:pt>
                <c:pt idx="22">
                  <c:v>0.37440700166630103</c:v>
                </c:pt>
                <c:pt idx="23">
                  <c:v>0.3565780968250486</c:v>
                </c:pt>
                <c:pt idx="24">
                  <c:v>0.33959818745242731</c:v>
                </c:pt>
                <c:pt idx="25">
                  <c:v>0.32342684519278792</c:v>
                </c:pt>
                <c:pt idx="26">
                  <c:v>0.30802556685027427</c:v>
                </c:pt>
                <c:pt idx="27">
                  <c:v>0.29335768271454699</c:v>
                </c:pt>
                <c:pt idx="28">
                  <c:v>0.27938826925194948</c:v>
                </c:pt>
                <c:pt idx="29">
                  <c:v>0.26608406595423761</c:v>
                </c:pt>
                <c:pt idx="30">
                  <c:v>0.25341339614689307</c:v>
                </c:pt>
                <c:pt idx="31">
                  <c:v>0.24134609156846956</c:v>
                </c:pt>
                <c:pt idx="32">
                  <c:v>0.22985342054139962</c:v>
                </c:pt>
                <c:pt idx="33">
                  <c:v>0.21890801956323774</c:v>
                </c:pt>
                <c:pt idx="34">
                  <c:v>0.20848382815546451</c:v>
                </c:pt>
                <c:pt idx="35">
                  <c:v>0.1985560268147282</c:v>
                </c:pt>
                <c:pt idx="36">
                  <c:v>0.18910097791878874</c:v>
                </c:pt>
                <c:pt idx="37">
                  <c:v>0.18009616944646553</c:v>
                </c:pt>
                <c:pt idx="38">
                  <c:v>0.17152016137758622</c:v>
                </c:pt>
                <c:pt idx="39">
                  <c:v>0.16335253464532024</c:v>
                </c:pt>
                <c:pt idx="40">
                  <c:v>0.15557384251935261</c:v>
                </c:pt>
                <c:pt idx="41">
                  <c:v>0.14816556430414532</c:v>
                </c:pt>
                <c:pt idx="42">
                  <c:v>0.14111006124204317</c:v>
                </c:pt>
                <c:pt idx="43">
                  <c:v>0.13439053451623162</c:v>
                </c:pt>
                <c:pt idx="44">
                  <c:v>0.12799098525355393</c:v>
                </c:pt>
                <c:pt idx="45">
                  <c:v>0.12189617643195615</c:v>
                </c:pt>
                <c:pt idx="46">
                  <c:v>0.11609159660186304</c:v>
                </c:pt>
                <c:pt idx="47">
                  <c:v>0.11056342533510763</c:v>
                </c:pt>
                <c:pt idx="48">
                  <c:v>0.10529850031915013</c:v>
                </c:pt>
                <c:pt idx="49">
                  <c:v>0.10028428601823824</c:v>
                </c:pt>
                <c:pt idx="50">
                  <c:v>9.5508843826893591E-2</c:v>
                </c:pt>
                <c:pt idx="51">
                  <c:v>9.0960803644660554E-2</c:v>
                </c:pt>
                <c:pt idx="52">
                  <c:v>8.6629336804438628E-2</c:v>
                </c:pt>
                <c:pt idx="53">
                  <c:v>8.2504130289941566E-2</c:v>
                </c:pt>
                <c:pt idx="54">
                  <c:v>7.8575362180896724E-2</c:v>
                </c:pt>
                <c:pt idx="55">
                  <c:v>7.4833678267520715E-2</c:v>
                </c:pt>
                <c:pt idx="56">
                  <c:v>7.1270169778591144E-2</c:v>
                </c:pt>
                <c:pt idx="57">
                  <c:v>6.7876352170086821E-2</c:v>
                </c:pt>
                <c:pt idx="58">
                  <c:v>6.4644144923892213E-2</c:v>
                </c:pt>
                <c:pt idx="59">
                  <c:v>6.1565852308468776E-2</c:v>
                </c:pt>
                <c:pt idx="60">
                  <c:v>5.863414505568456E-2</c:v>
                </c:pt>
                <c:pt idx="61">
                  <c:v>5.584204291017577E-2</c:v>
                </c:pt>
                <c:pt idx="62">
                  <c:v>5.3182898009691233E-2</c:v>
                </c:pt>
                <c:pt idx="63">
                  <c:v>5.0650379056848792E-2</c:v>
                </c:pt>
                <c:pt idx="64">
                  <c:v>4.8238456244617908E-2</c:v>
                </c:pt>
                <c:pt idx="65">
                  <c:v>4.5941386899636096E-2</c:v>
                </c:pt>
                <c:pt idx="66">
                  <c:v>4.3753701809177238E-2</c:v>
                </c:pt>
                <c:pt idx="67">
                  <c:v>4.1670192199216423E-2</c:v>
                </c:pt>
                <c:pt idx="68">
                  <c:v>3.9685897332587074E-2</c:v>
                </c:pt>
                <c:pt idx="69">
                  <c:v>3.7796092697701983E-2</c:v>
                </c:pt>
                <c:pt idx="70">
                  <c:v>3.5996278759716185E-2</c:v>
                </c:pt>
                <c:pt idx="71">
                  <c:v>3.4282170247348739E-2</c:v>
                </c:pt>
                <c:pt idx="72">
                  <c:v>3.2649685949855949E-2</c:v>
                </c:pt>
                <c:pt idx="73">
                  <c:v>3.109493899986281E-2</c:v>
                </c:pt>
                <c:pt idx="74">
                  <c:v>2.9614227618916966E-2</c:v>
                </c:pt>
                <c:pt idx="75">
                  <c:v>2.8204026303730447E-2</c:v>
                </c:pt>
                <c:pt idx="76">
                  <c:v>2.6860977432124233E-2</c:v>
                </c:pt>
                <c:pt idx="77">
                  <c:v>2.5581883268689751E-2</c:v>
                </c:pt>
                <c:pt idx="78">
                  <c:v>2.4363698351133105E-2</c:v>
                </c:pt>
                <c:pt idx="79">
                  <c:v>2.3203522239174382E-2</c:v>
                </c:pt>
                <c:pt idx="80">
                  <c:v>2.2098592608737505E-2</c:v>
                </c:pt>
                <c:pt idx="81">
                  <c:v>2.1046278674988109E-2</c:v>
                </c:pt>
                <c:pt idx="82">
                  <c:v>2.0044074928560106E-2</c:v>
                </c:pt>
                <c:pt idx="83">
                  <c:v>1.9089595170057243E-2</c:v>
                </c:pt>
                <c:pt idx="84">
                  <c:v>1.8180566828625948E-2</c:v>
                </c:pt>
                <c:pt idx="85">
                  <c:v>1.7314825551072333E-2</c:v>
                </c:pt>
                <c:pt idx="86">
                  <c:v>1.6490310048640319E-2</c:v>
                </c:pt>
                <c:pt idx="87">
                  <c:v>1.5705057189181255E-2</c:v>
                </c:pt>
                <c:pt idx="88">
                  <c:v>1.4957197323029772E-2</c:v>
                </c:pt>
                <c:pt idx="89">
                  <c:v>1.4244949831456924E-2</c:v>
                </c:pt>
                <c:pt idx="90">
                  <c:v>1.3566618887101835E-2</c:v>
                </c:pt>
                <c:pt idx="91">
                  <c:v>1.2920589416287461E-2</c:v>
                </c:pt>
                <c:pt idx="92">
                  <c:v>1.2305323253607107E-2</c:v>
                </c:pt>
                <c:pt idx="93">
                  <c:v>1.1719355479625819E-2</c:v>
                </c:pt>
                <c:pt idx="94">
                  <c:v>1.1161290932976973E-2</c:v>
                </c:pt>
                <c:pt idx="95">
                  <c:v>1.06298008885495E-2</c:v>
                </c:pt>
                <c:pt idx="96">
                  <c:v>1.0123619893856666E-2</c:v>
                </c:pt>
                <c:pt idx="97">
                  <c:v>9.6415427560539672E-3</c:v>
                </c:pt>
                <c:pt idx="98">
                  <c:v>9.1824216724323525E-3</c:v>
                </c:pt>
                <c:pt idx="99">
                  <c:v>8.7451634975546245E-3</c:v>
                </c:pt>
              </c:numCache>
            </c:numRef>
          </c:val>
          <c:smooth val="0"/>
          <c:extLst>
            <c:ext xmlns:c16="http://schemas.microsoft.com/office/drawing/2014/chart" uri="{C3380CC4-5D6E-409C-BE32-E72D297353CC}">
              <c16:uniqueId val="{00000001-D839-4399-A38C-33D996F584EE}"/>
            </c:ext>
          </c:extLst>
        </c:ser>
        <c:dLbls>
          <c:showLegendKey val="0"/>
          <c:showVal val="0"/>
          <c:showCatName val="0"/>
          <c:showSerName val="0"/>
          <c:showPercent val="0"/>
          <c:showBubbleSize val="0"/>
        </c:dLbls>
        <c:smooth val="0"/>
        <c:axId val="2018368689"/>
        <c:axId val="651179248"/>
      </c:lineChart>
      <c:catAx>
        <c:axId val="2018368689"/>
        <c:scaling>
          <c:orientation val="minMax"/>
        </c:scaling>
        <c:delete val="0"/>
        <c:axPos val="b"/>
        <c:title>
          <c:tx>
            <c:rich>
              <a:bodyPr/>
              <a:lstStyle/>
              <a:p>
                <a:pPr lvl="0">
                  <a:defRPr b="0">
                    <a:solidFill>
                      <a:srgbClr val="000000"/>
                    </a:solidFill>
                    <a:latin typeface="+mn-lt"/>
                  </a:defRPr>
                </a:pPr>
                <a:endParaRPr lang="es-AR"/>
              </a:p>
            </c:rich>
          </c:tx>
          <c:overlay val="0"/>
        </c:title>
        <c:numFmt formatCode="General" sourceLinked="1"/>
        <c:majorTickMark val="none"/>
        <c:minorTickMark val="none"/>
        <c:tickLblPos val="nextTo"/>
        <c:txPr>
          <a:bodyPr/>
          <a:lstStyle/>
          <a:p>
            <a:pPr lvl="0">
              <a:defRPr sz="900" b="0" i="0">
                <a:solidFill>
                  <a:srgbClr val="000000"/>
                </a:solidFill>
                <a:latin typeface="Calibri"/>
              </a:defRPr>
            </a:pPr>
            <a:endParaRPr lang="es-AR"/>
          </a:p>
        </c:txPr>
        <c:crossAx val="651179248"/>
        <c:crosses val="autoZero"/>
        <c:auto val="1"/>
        <c:lblAlgn val="ctr"/>
        <c:lblOffset val="100"/>
        <c:noMultiLvlLbl val="1"/>
      </c:catAx>
      <c:valAx>
        <c:axId val="651179248"/>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lang="es-AR"/>
              </a:p>
            </c:rich>
          </c:tx>
          <c:overlay val="0"/>
        </c:title>
        <c:numFmt formatCode="#,##0.00" sourceLinked="1"/>
        <c:majorTickMark val="none"/>
        <c:minorTickMark val="none"/>
        <c:tickLblPos val="nextTo"/>
        <c:spPr>
          <a:ln/>
        </c:spPr>
        <c:txPr>
          <a:bodyPr/>
          <a:lstStyle/>
          <a:p>
            <a:pPr lvl="0">
              <a:defRPr sz="900" b="0" i="0">
                <a:solidFill>
                  <a:srgbClr val="000000"/>
                </a:solidFill>
                <a:latin typeface="Calibri"/>
              </a:defRPr>
            </a:pPr>
            <a:endParaRPr lang="es-AR"/>
          </a:p>
        </c:txPr>
        <c:crossAx val="2018368689"/>
        <c:crosses val="autoZero"/>
        <c:crossBetween val="between"/>
      </c:valAx>
    </c:plotArea>
    <c:legend>
      <c:legendPos val="b"/>
      <c:overlay val="0"/>
      <c:txPr>
        <a:bodyPr/>
        <a:lstStyle/>
        <a:p>
          <a:pPr lvl="0">
            <a:defRPr sz="900" b="0" i="0">
              <a:solidFill>
                <a:srgbClr val="1A1A1A"/>
              </a:solidFill>
              <a:latin typeface="Calibri"/>
            </a:defRPr>
          </a:pPr>
          <a:endParaRPr lang="es-AR"/>
        </a:p>
      </c:txPr>
    </c:legend>
    <c:plotVisOnly val="1"/>
    <c:dispBlanksAs val="zero"/>
    <c:showDLblsOverMax val="1"/>
  </c:chart>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95250</xdr:rowOff>
    </xdr:from>
    <xdr:ext cx="9934575" cy="2028825"/>
    <xdr:sp macro="" textlink="">
      <xdr:nvSpPr>
        <xdr:cNvPr id="3" name="Shape 3">
          <a:extLst>
            <a:ext uri="{FF2B5EF4-FFF2-40B4-BE49-F238E27FC236}">
              <a16:creationId xmlns:a16="http://schemas.microsoft.com/office/drawing/2014/main" id="{00000000-0008-0000-0100-000003000000}"/>
            </a:ext>
          </a:extLst>
        </xdr:cNvPr>
        <xdr:cNvSpPr txBox="1"/>
      </xdr:nvSpPr>
      <xdr:spPr>
        <a:xfrm>
          <a:off x="380300" y="2767175"/>
          <a:ext cx="9931400" cy="2025650"/>
        </a:xfrm>
        <a:prstGeom prst="rect">
          <a:avLst/>
        </a:prstGeom>
        <a:noFill/>
        <a:ln>
          <a:noFill/>
        </a:ln>
      </xdr:spPr>
      <xdr:txBody>
        <a:bodyPr spcFirstLastPara="1" wrap="square" lIns="91425" tIns="45700" rIns="91425" bIns="45700" anchor="t" anchorCtr="0">
          <a:noAutofit/>
        </a:bodyPr>
        <a:lstStyle/>
        <a:p>
          <a:pPr marL="0" lvl="0" indent="0" algn="l" rtl="0">
            <a:spcBef>
              <a:spcPts val="0"/>
            </a:spcBef>
            <a:spcAft>
              <a:spcPts val="0"/>
            </a:spcAft>
            <a:buNone/>
          </a:pPr>
          <a:r>
            <a:rPr lang="en-US" sz="1100" b="0" i="0">
              <a:solidFill>
                <a:schemeClr val="dk1"/>
              </a:solidFill>
              <a:latin typeface="Calibri"/>
              <a:ea typeface="Calibri"/>
              <a:cs typeface="Calibri"/>
              <a:sym typeface="Calibri"/>
            </a:rPr>
            <a:t>El dólar MEP es una operación financiera que se utiliza en Argentina para adquirir dólares estadounidenses de manera legal para evitar las restricciones de compra de divisas, por el mercado formal al precio oficial, pero generalmente a un tipo de cambio menos ventajoso.</a:t>
          </a:r>
          <a:endParaRPr sz="1100" b="0" i="0">
            <a:solidFill>
              <a:schemeClr val="dk1"/>
            </a:solidFill>
            <a:latin typeface="Calibri"/>
            <a:ea typeface="Calibri"/>
            <a:cs typeface="Calibri"/>
            <a:sym typeface="Calibri"/>
          </a:endParaRPr>
        </a:p>
        <a:p>
          <a:pPr marL="0" lvl="0" indent="0" algn="l" rtl="0">
            <a:spcBef>
              <a:spcPts val="0"/>
            </a:spcBef>
            <a:spcAft>
              <a:spcPts val="0"/>
            </a:spcAft>
            <a:buNone/>
          </a:pPr>
          <a:r>
            <a:rPr lang="en-US" sz="1100" b="0" i="0">
              <a:solidFill>
                <a:schemeClr val="dk1"/>
              </a:solidFill>
              <a:latin typeface="Calibri"/>
              <a:ea typeface="Calibri"/>
              <a:cs typeface="Calibri"/>
              <a:sym typeface="Calibri"/>
            </a:rPr>
            <a:t>Esta operación se realiza a través de la compra de bonos en pesos argentinos que cotizan en la Bolsa y la posterior venta de esos mismos bonos en dólares. El mecanismo funciona de la siguiente manera:</a:t>
          </a:r>
          <a:endParaRPr sz="1400"/>
        </a:p>
        <a:p>
          <a:pPr marL="0" lvl="0" indent="0" algn="l" rtl="0">
            <a:spcBef>
              <a:spcPts val="0"/>
            </a:spcBef>
            <a:spcAft>
              <a:spcPts val="0"/>
            </a:spcAft>
            <a:buNone/>
          </a:pPr>
          <a:r>
            <a:rPr lang="en-US" sz="1100" b="0" i="0">
              <a:solidFill>
                <a:schemeClr val="dk1"/>
              </a:solidFill>
              <a:latin typeface="Calibri"/>
              <a:ea typeface="Calibri"/>
              <a:cs typeface="Calibri"/>
              <a:sym typeface="Calibri"/>
            </a:rPr>
            <a:t>un inversor compra bonos en pesos argentinos que cotizan en la Bolsa local, por ejemplo, el Bonar 2024. Luego de esperar el límite de días por parking (plazo de tenencia mínima obligatoria) los vende en dólares.  El precio del dólar MEP se obtiene dividiendo el precio del bono AL30 (o GD30) en pesos sobre el precio del bono AL30 (o GD30D) en dólares (AL30D). A esto se le debe agregar las comisiones cobradas por el broker.</a:t>
          </a:r>
          <a:endParaRPr sz="1100" b="0" i="0">
            <a:solidFill>
              <a:schemeClr val="dk1"/>
            </a:solidFill>
            <a:latin typeface="Calibri"/>
            <a:ea typeface="Calibri"/>
            <a:cs typeface="Calibri"/>
            <a:sym typeface="Calibri"/>
          </a:endParaRPr>
        </a:p>
        <a:p>
          <a:pPr marL="0" lvl="0" indent="0" algn="l" rtl="0">
            <a:spcBef>
              <a:spcPts val="0"/>
            </a:spcBef>
            <a:spcAft>
              <a:spcPts val="0"/>
            </a:spcAft>
            <a:buNone/>
          </a:pPr>
          <a:r>
            <a:rPr lang="en-US" sz="1100" b="0" i="0">
              <a:solidFill>
                <a:schemeClr val="dk1"/>
              </a:solidFill>
              <a:latin typeface="Calibri"/>
              <a:ea typeface="Calibri"/>
              <a:cs typeface="Calibri"/>
              <a:sym typeface="Calibri"/>
            </a:rPr>
            <a:t>En Argentina, el dólar MEP se utiliza como una herramienta para protegerse de la devaluación del peso argentino, y es una opción popular para los inversores que buscan alternativas al dólar oficial. Sin embargo, cabe destacar que esta operación tiene ciertas limitaciones y regulaciones establecidas por el gobierno argentino y el mercado financiero local.</a:t>
          </a:r>
          <a:endParaRPr sz="1400"/>
        </a:p>
        <a:p>
          <a:pPr marL="0" lvl="0" indent="0" algn="l" rtl="0">
            <a:spcBef>
              <a:spcPts val="0"/>
            </a:spcBef>
            <a:spcAft>
              <a:spcPts val="0"/>
            </a:spcAft>
            <a:buNone/>
          </a:pPr>
          <a:endParaRPr sz="1100"/>
        </a:p>
      </xdr:txBody>
    </xdr:sp>
    <xdr:clientData fLocksWithSheet="0"/>
  </xdr:oneCellAnchor>
</xdr:wsDr>
</file>

<file path=xl/drawings/drawing2.xml><?xml version="1.0" encoding="utf-8"?>
<xdr:wsDr xmlns:xdr="http://schemas.openxmlformats.org/drawingml/2006/spreadsheetDrawing" xmlns:a="http://schemas.openxmlformats.org/drawingml/2006/main">
  <xdr:oneCellAnchor>
    <xdr:from>
      <xdr:col>0</xdr:col>
      <xdr:colOff>0</xdr:colOff>
      <xdr:row>11</xdr:row>
      <xdr:rowOff>0</xdr:rowOff>
    </xdr:from>
    <xdr:ext cx="3505200" cy="2419350"/>
    <xdr:graphicFrame macro="">
      <xdr:nvGraphicFramePr>
        <xdr:cNvPr id="70801644" name="Chart 1">
          <a:extLst>
            <a:ext uri="{FF2B5EF4-FFF2-40B4-BE49-F238E27FC236}">
              <a16:creationId xmlns:a16="http://schemas.microsoft.com/office/drawing/2014/main" id="{00000000-0008-0000-0200-0000EC58380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5</xdr:col>
      <xdr:colOff>0</xdr:colOff>
      <xdr:row>11</xdr:row>
      <xdr:rowOff>0</xdr:rowOff>
    </xdr:from>
    <xdr:ext cx="3505200" cy="2419350"/>
    <xdr:graphicFrame macro="">
      <xdr:nvGraphicFramePr>
        <xdr:cNvPr id="2008629469" name="Chart 2">
          <a:extLst>
            <a:ext uri="{FF2B5EF4-FFF2-40B4-BE49-F238E27FC236}">
              <a16:creationId xmlns:a16="http://schemas.microsoft.com/office/drawing/2014/main" id="{00000000-0008-0000-0200-0000DD40B97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4</xdr:col>
      <xdr:colOff>904875</xdr:colOff>
      <xdr:row>26</xdr:row>
      <xdr:rowOff>76200</xdr:rowOff>
    </xdr:from>
    <xdr:ext cx="4143375" cy="476250"/>
    <xdr:sp macro="" textlink="">
      <xdr:nvSpPr>
        <xdr:cNvPr id="4" name="Shape 4">
          <a:extLst>
            <a:ext uri="{FF2B5EF4-FFF2-40B4-BE49-F238E27FC236}">
              <a16:creationId xmlns:a16="http://schemas.microsoft.com/office/drawing/2014/main" id="{00000000-0008-0000-0200-000004000000}"/>
            </a:ext>
          </a:extLst>
        </xdr:cNvPr>
        <xdr:cNvSpPr txBox="1"/>
      </xdr:nvSpPr>
      <xdr:spPr>
        <a:xfrm>
          <a:off x="3279075" y="3546638"/>
          <a:ext cx="4133850" cy="466725"/>
        </a:xfrm>
        <a:prstGeom prst="rect">
          <a:avLst/>
        </a:prstGeom>
        <a:solidFill>
          <a:schemeClr val="lt1"/>
        </a:solidFill>
        <a:ln>
          <a:noFill/>
        </a:ln>
      </xdr:spPr>
      <xdr:txBody>
        <a:bodyPr spcFirstLastPara="1" wrap="square" lIns="91425" tIns="45700" rIns="91425" bIns="45700" anchor="t" anchorCtr="0">
          <a:noAutofit/>
        </a:bodyPr>
        <a:lstStyle/>
        <a:p>
          <a:pPr marL="0" lvl="0" indent="0" algn="l" rtl="0">
            <a:spcBef>
              <a:spcPts val="0"/>
            </a:spcBef>
            <a:spcAft>
              <a:spcPts val="0"/>
            </a:spcAft>
            <a:buNone/>
          </a:pPr>
          <a:r>
            <a:rPr lang="en-US" sz="1100">
              <a:solidFill>
                <a:schemeClr val="dk1"/>
              </a:solidFill>
              <a:latin typeface="Calibri"/>
              <a:ea typeface="Calibri"/>
              <a:cs typeface="Calibri"/>
              <a:sym typeface="Calibri"/>
            </a:rPr>
            <a:t>Ante un aumento del </a:t>
          </a:r>
          <a:r>
            <a:rPr lang="en-US" sz="1100">
              <a:solidFill>
                <a:srgbClr val="FF0000"/>
              </a:solidFill>
              <a:latin typeface="Calibri"/>
              <a:ea typeface="Calibri"/>
              <a:cs typeface="Calibri"/>
              <a:sym typeface="Calibri"/>
            </a:rPr>
            <a:t>10%</a:t>
          </a:r>
          <a:r>
            <a:rPr lang="en-US" sz="1100">
              <a:solidFill>
                <a:schemeClr val="dk1"/>
              </a:solidFill>
              <a:latin typeface="Calibri"/>
              <a:ea typeface="Calibri"/>
              <a:cs typeface="Calibri"/>
              <a:sym typeface="Calibri"/>
            </a:rPr>
            <a:t> del costo de oportunidad se observa la mayor sensibilidad del precio, que cae </a:t>
          </a:r>
          <a:r>
            <a:rPr lang="en-US" sz="1100">
              <a:solidFill>
                <a:srgbClr val="FF0000"/>
              </a:solidFill>
              <a:latin typeface="Calibri"/>
              <a:ea typeface="Calibri"/>
              <a:cs typeface="Calibri"/>
              <a:sym typeface="Calibri"/>
            </a:rPr>
            <a:t>19,88%</a:t>
          </a:r>
          <a:r>
            <a:rPr lang="en-US" sz="1100">
              <a:solidFill>
                <a:schemeClr val="dk1"/>
              </a:solidFill>
              <a:latin typeface="Calibri"/>
              <a:ea typeface="Calibri"/>
              <a:cs typeface="Calibri"/>
              <a:sym typeface="Calibri"/>
            </a:rPr>
            <a:t>.</a:t>
          </a:r>
          <a:endParaRPr sz="1400"/>
        </a:p>
      </xdr:txBody>
    </xdr:sp>
    <xdr:clientData fLocksWithSheet="0"/>
  </xdr:oneCellAnchor>
  <xdr:oneCellAnchor>
    <xdr:from>
      <xdr:col>0</xdr:col>
      <xdr:colOff>38100</xdr:colOff>
      <xdr:row>26</xdr:row>
      <xdr:rowOff>76200</xdr:rowOff>
    </xdr:from>
    <xdr:ext cx="4095750" cy="609600"/>
    <xdr:sp macro="" textlink="">
      <xdr:nvSpPr>
        <xdr:cNvPr id="5" name="Shape 5">
          <a:extLst>
            <a:ext uri="{FF2B5EF4-FFF2-40B4-BE49-F238E27FC236}">
              <a16:creationId xmlns:a16="http://schemas.microsoft.com/office/drawing/2014/main" id="{00000000-0008-0000-0200-000005000000}"/>
            </a:ext>
          </a:extLst>
        </xdr:cNvPr>
        <xdr:cNvSpPr txBox="1"/>
      </xdr:nvSpPr>
      <xdr:spPr>
        <a:xfrm>
          <a:off x="3298125" y="3479963"/>
          <a:ext cx="4095750" cy="600075"/>
        </a:xfrm>
        <a:prstGeom prst="rect">
          <a:avLst/>
        </a:prstGeom>
        <a:solidFill>
          <a:schemeClr val="lt1"/>
        </a:solidFill>
        <a:ln>
          <a:noFill/>
        </a:ln>
      </xdr:spPr>
      <xdr:txBody>
        <a:bodyPr spcFirstLastPara="1" wrap="square" lIns="91425" tIns="45700" rIns="91425" bIns="45700" anchor="t" anchorCtr="0">
          <a:noAutofit/>
        </a:bodyPr>
        <a:lstStyle/>
        <a:p>
          <a:pPr marL="0" lvl="0" indent="0" algn="l" rtl="0">
            <a:spcBef>
              <a:spcPts val="0"/>
            </a:spcBef>
            <a:spcAft>
              <a:spcPts val="0"/>
            </a:spcAft>
            <a:buNone/>
          </a:pPr>
          <a:r>
            <a:rPr lang="en-US" sz="1100">
              <a:solidFill>
                <a:schemeClr val="dk1"/>
              </a:solidFill>
              <a:latin typeface="Calibri"/>
              <a:ea typeface="Calibri"/>
              <a:cs typeface="Calibri"/>
              <a:sym typeface="Calibri"/>
            </a:rPr>
            <a:t>Se observa que el costo de oportunidad, con una menor variación porcentual respecto de los demás componentes, genera el mismo impacto en precio.</a:t>
          </a:r>
          <a:endParaRPr sz="1100"/>
        </a:p>
      </xdr:txBody>
    </xdr:sp>
    <xdr:clientData fLocksWithSheet="0"/>
  </xdr:oneCellAnchor>
  <xdr:oneCellAnchor>
    <xdr:from>
      <xdr:col>3</xdr:col>
      <xdr:colOff>0</xdr:colOff>
      <xdr:row>1</xdr:row>
      <xdr:rowOff>0</xdr:rowOff>
    </xdr:from>
    <xdr:ext cx="3600450" cy="438150"/>
    <xdr:sp macro="" textlink="">
      <xdr:nvSpPr>
        <xdr:cNvPr id="6" name="Shape 6">
          <a:extLst>
            <a:ext uri="{FF2B5EF4-FFF2-40B4-BE49-F238E27FC236}">
              <a16:creationId xmlns:a16="http://schemas.microsoft.com/office/drawing/2014/main" id="{00000000-0008-0000-0200-000006000000}"/>
            </a:ext>
          </a:extLst>
        </xdr:cNvPr>
        <xdr:cNvSpPr txBox="1"/>
      </xdr:nvSpPr>
      <xdr:spPr>
        <a:xfrm>
          <a:off x="3548950" y="3561607"/>
          <a:ext cx="3594100" cy="436786"/>
        </a:xfrm>
        <a:prstGeom prst="rect">
          <a:avLst/>
        </a:prstGeom>
        <a:noFill/>
        <a:ln>
          <a:noFill/>
        </a:ln>
      </xdr:spPr>
      <xdr:txBody>
        <a:bodyPr spcFirstLastPara="1" wrap="square" lIns="91425" tIns="45700" rIns="91425" bIns="45700" anchor="t" anchorCtr="0">
          <a:spAutoFit/>
        </a:bodyPr>
        <a:lstStyle/>
        <a:p>
          <a:pPr marL="0" lvl="0" indent="0" algn="l" rtl="0">
            <a:spcBef>
              <a:spcPts val="0"/>
            </a:spcBef>
            <a:spcAft>
              <a:spcPts val="0"/>
            </a:spcAft>
            <a:buNone/>
          </a:pPr>
          <a:r>
            <a:rPr lang="en-US" sz="1100">
              <a:solidFill>
                <a:schemeClr val="dk1"/>
              </a:solidFill>
              <a:latin typeface="Calibri"/>
              <a:ea typeface="Calibri"/>
              <a:cs typeface="Calibri"/>
              <a:sym typeface="Calibri"/>
            </a:rPr>
            <a:t>El precio de la acción, con un dividendo de $1,15, costo de oportunidad de 13,4% y un crecimiento de 8% es de </a:t>
          </a:r>
          <a:r>
            <a:rPr lang="en-US" sz="1100">
              <a:solidFill>
                <a:srgbClr val="FF0000"/>
              </a:solidFill>
              <a:latin typeface="Calibri"/>
              <a:ea typeface="Calibri"/>
              <a:cs typeface="Calibri"/>
              <a:sym typeface="Calibri"/>
            </a:rPr>
            <a:t>$21,3</a:t>
          </a:r>
          <a:endParaRPr sz="1100">
            <a:solidFill>
              <a:srgbClr val="FF0000"/>
            </a:solidFill>
          </a:endParaRPr>
        </a:p>
      </xdr:txBody>
    </xdr:sp>
    <xdr:clientData fLocksWithSheet="0"/>
  </xdr:oneCellAnchor>
</xdr:wsDr>
</file>

<file path=xl/drawings/drawing3.xml><?xml version="1.0" encoding="utf-8"?>
<xdr:wsDr xmlns:xdr="http://schemas.openxmlformats.org/drawingml/2006/spreadsheetDrawing" xmlns:a="http://schemas.openxmlformats.org/drawingml/2006/main">
  <xdr:oneCellAnchor>
    <xdr:from>
      <xdr:col>0</xdr:col>
      <xdr:colOff>0</xdr:colOff>
      <xdr:row>11</xdr:row>
      <xdr:rowOff>38100</xdr:rowOff>
    </xdr:from>
    <xdr:ext cx="5124450" cy="2628900"/>
    <xdr:graphicFrame macro="">
      <xdr:nvGraphicFramePr>
        <xdr:cNvPr id="887282066" name="Chart 3">
          <a:extLst>
            <a:ext uri="{FF2B5EF4-FFF2-40B4-BE49-F238E27FC236}">
              <a16:creationId xmlns:a16="http://schemas.microsoft.com/office/drawing/2014/main" id="{00000000-0008-0000-0300-000092D9E23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12</xdr:col>
      <xdr:colOff>247650</xdr:colOff>
      <xdr:row>15</xdr:row>
      <xdr:rowOff>114300</xdr:rowOff>
    </xdr:from>
    <xdr:ext cx="4857750" cy="1133475"/>
    <xdr:sp macro="" textlink="">
      <xdr:nvSpPr>
        <xdr:cNvPr id="7" name="Shape 7">
          <a:extLst>
            <a:ext uri="{FF2B5EF4-FFF2-40B4-BE49-F238E27FC236}">
              <a16:creationId xmlns:a16="http://schemas.microsoft.com/office/drawing/2014/main" id="{00000000-0008-0000-0300-000007000000}"/>
            </a:ext>
          </a:extLst>
        </xdr:cNvPr>
        <xdr:cNvSpPr txBox="1"/>
      </xdr:nvSpPr>
      <xdr:spPr>
        <a:xfrm>
          <a:off x="2920881" y="3217154"/>
          <a:ext cx="4850239" cy="1125693"/>
        </a:xfrm>
        <a:prstGeom prst="rect">
          <a:avLst/>
        </a:prstGeom>
        <a:noFill/>
        <a:ln>
          <a:noFill/>
        </a:ln>
      </xdr:spPr>
      <xdr:txBody>
        <a:bodyPr spcFirstLastPara="1" wrap="square" lIns="91425" tIns="45700" rIns="91425" bIns="45700" anchor="t" anchorCtr="0">
          <a:spAutoFit/>
        </a:bodyPr>
        <a:lstStyle/>
        <a:p>
          <a:pPr marL="0" lvl="0" indent="0" algn="l" rtl="0">
            <a:spcBef>
              <a:spcPts val="0"/>
            </a:spcBef>
            <a:spcAft>
              <a:spcPts val="0"/>
            </a:spcAft>
            <a:buNone/>
          </a:pPr>
          <a:r>
            <a:rPr lang="en-US" sz="1100">
              <a:solidFill>
                <a:schemeClr val="dk1"/>
              </a:solidFill>
              <a:latin typeface="Calibri"/>
              <a:ea typeface="Calibri"/>
              <a:cs typeface="Calibri"/>
              <a:sym typeface="Calibri"/>
            </a:rPr>
            <a:t>Si descuenta los 5 primeros periodos, se obtiene un precio de </a:t>
          </a:r>
          <a:r>
            <a:rPr lang="en-US" sz="1100">
              <a:solidFill>
                <a:srgbClr val="FF0000"/>
              </a:solidFill>
              <a:latin typeface="Calibri"/>
              <a:ea typeface="Calibri"/>
              <a:cs typeface="Calibri"/>
              <a:sym typeface="Calibri"/>
            </a:rPr>
            <a:t>$4,98</a:t>
          </a:r>
          <a:r>
            <a:rPr lang="en-US" sz="1100">
              <a:solidFill>
                <a:srgbClr val="000000"/>
              </a:solidFill>
              <a:latin typeface="Calibri"/>
              <a:ea typeface="Calibri"/>
              <a:cs typeface="Calibri"/>
              <a:sym typeface="Calibri"/>
            </a:rPr>
            <a:t>.</a:t>
          </a:r>
          <a:endParaRPr sz="1400"/>
        </a:p>
        <a:p>
          <a:pPr marL="0" lvl="0" indent="0" algn="l" rtl="0">
            <a:spcBef>
              <a:spcPts val="0"/>
            </a:spcBef>
            <a:spcAft>
              <a:spcPts val="0"/>
            </a:spcAft>
            <a:buNone/>
          </a:pPr>
          <a:r>
            <a:rPr lang="en-US" sz="1100">
              <a:solidFill>
                <a:srgbClr val="000000"/>
              </a:solidFill>
              <a:latin typeface="Calibri"/>
              <a:ea typeface="Calibri"/>
              <a:cs typeface="Calibri"/>
              <a:sym typeface="Calibri"/>
            </a:rPr>
            <a:t>Debería descontar un número mayor de flujos de dividendos para acercarse</a:t>
          </a:r>
          <a:endParaRPr sz="1400"/>
        </a:p>
        <a:p>
          <a:pPr marL="0" lvl="0" indent="0" algn="l" rtl="0">
            <a:spcBef>
              <a:spcPts val="0"/>
            </a:spcBef>
            <a:spcAft>
              <a:spcPts val="0"/>
            </a:spcAft>
            <a:buNone/>
          </a:pPr>
          <a:r>
            <a:rPr lang="en-US" sz="1100">
              <a:solidFill>
                <a:srgbClr val="000000"/>
              </a:solidFill>
              <a:latin typeface="Calibri"/>
              <a:ea typeface="Calibri"/>
              <a:cs typeface="Calibri"/>
              <a:sym typeface="Calibri"/>
            </a:rPr>
            <a:t>asintóticamente al precio descontado en infinitos periodos.</a:t>
          </a:r>
          <a:endParaRPr sz="1400"/>
        </a:p>
        <a:p>
          <a:pPr marL="0" lvl="0" indent="0" algn="l" rtl="0">
            <a:spcBef>
              <a:spcPts val="0"/>
            </a:spcBef>
            <a:spcAft>
              <a:spcPts val="0"/>
            </a:spcAft>
            <a:buNone/>
          </a:pPr>
          <a:r>
            <a:rPr lang="en-US" sz="1100">
              <a:solidFill>
                <a:srgbClr val="000000"/>
              </a:solidFill>
              <a:latin typeface="Calibri"/>
              <a:ea typeface="Calibri"/>
              <a:cs typeface="Calibri"/>
              <a:sym typeface="Calibri"/>
            </a:rPr>
            <a:t>En caso de solo descontar un número bajo y finito de dividendos, está asumiendo</a:t>
          </a:r>
          <a:endParaRPr sz="1400"/>
        </a:p>
        <a:p>
          <a:pPr marL="0" lvl="0" indent="0" algn="l" rtl="0">
            <a:spcBef>
              <a:spcPts val="0"/>
            </a:spcBef>
            <a:spcAft>
              <a:spcPts val="0"/>
            </a:spcAft>
            <a:buNone/>
          </a:pPr>
          <a:r>
            <a:rPr lang="en-US" sz="1100">
              <a:solidFill>
                <a:srgbClr val="000000"/>
              </a:solidFill>
              <a:latin typeface="Calibri"/>
              <a:ea typeface="Calibri"/>
              <a:cs typeface="Calibri"/>
              <a:sym typeface="Calibri"/>
            </a:rPr>
            <a:t>que no se pagarán dividendos pasado ese periodo. En ese caso, el modelo falla</a:t>
          </a:r>
          <a:endParaRPr sz="1400"/>
        </a:p>
        <a:p>
          <a:pPr marL="0" lvl="0" indent="0" algn="l" rtl="0">
            <a:spcBef>
              <a:spcPts val="0"/>
            </a:spcBef>
            <a:spcAft>
              <a:spcPts val="0"/>
            </a:spcAft>
            <a:buNone/>
          </a:pPr>
          <a:r>
            <a:rPr lang="en-US" sz="1100">
              <a:solidFill>
                <a:srgbClr val="000000"/>
              </a:solidFill>
              <a:latin typeface="Calibri"/>
              <a:ea typeface="Calibri"/>
              <a:cs typeface="Calibri"/>
              <a:sym typeface="Calibri"/>
            </a:rPr>
            <a:t>en valuar el precio, dado que asume que la empresa siempre paga dividendos.</a:t>
          </a:r>
          <a:endParaRPr sz="1400"/>
        </a:p>
      </xdr:txBody>
    </xdr:sp>
    <xdr:clientData fLocksWithSheet="0"/>
  </xdr:oneCellAnchor>
</xdr:wsDr>
</file>

<file path=xl/drawings/drawing4.xml><?xml version="1.0" encoding="utf-8"?>
<xdr:wsDr xmlns:xdr="http://schemas.openxmlformats.org/drawingml/2006/spreadsheetDrawing" xmlns:a="http://schemas.openxmlformats.org/drawingml/2006/main">
  <xdr:oneCellAnchor>
    <xdr:from>
      <xdr:col>2</xdr:col>
      <xdr:colOff>647700</xdr:colOff>
      <xdr:row>1</xdr:row>
      <xdr:rowOff>38100</xdr:rowOff>
    </xdr:from>
    <xdr:ext cx="4419600" cy="790575"/>
    <xdr:sp macro="" textlink="">
      <xdr:nvSpPr>
        <xdr:cNvPr id="8" name="Shape 8">
          <a:extLst>
            <a:ext uri="{FF2B5EF4-FFF2-40B4-BE49-F238E27FC236}">
              <a16:creationId xmlns:a16="http://schemas.microsoft.com/office/drawing/2014/main" id="{00000000-0008-0000-0400-000008000000}"/>
            </a:ext>
          </a:extLst>
        </xdr:cNvPr>
        <xdr:cNvSpPr txBox="1"/>
      </xdr:nvSpPr>
      <xdr:spPr>
        <a:xfrm>
          <a:off x="3138024" y="3389380"/>
          <a:ext cx="4415952" cy="781240"/>
        </a:xfrm>
        <a:prstGeom prst="rect">
          <a:avLst/>
        </a:prstGeom>
        <a:noFill/>
        <a:ln>
          <a:noFill/>
        </a:ln>
      </xdr:spPr>
      <xdr:txBody>
        <a:bodyPr spcFirstLastPara="1" wrap="square" lIns="91425" tIns="45700" rIns="91425" bIns="45700" anchor="t" anchorCtr="0">
          <a:spAutoFit/>
        </a:bodyPr>
        <a:lstStyle/>
        <a:p>
          <a:pPr marL="0" lvl="0" indent="0" algn="l" rtl="0">
            <a:spcBef>
              <a:spcPts val="0"/>
            </a:spcBef>
            <a:spcAft>
              <a:spcPts val="0"/>
            </a:spcAft>
            <a:buNone/>
          </a:pPr>
          <a:r>
            <a:rPr lang="en-US" sz="1100">
              <a:solidFill>
                <a:schemeClr val="dk1"/>
              </a:solidFill>
              <a:latin typeface="Calibri"/>
              <a:ea typeface="Calibri"/>
              <a:cs typeface="Calibri"/>
              <a:sym typeface="Calibri"/>
            </a:rPr>
            <a:t>El costo de oportunidad se calcula a través de r = D1 / P0 + g</a:t>
          </a:r>
          <a:endParaRPr sz="1400"/>
        </a:p>
        <a:p>
          <a:pPr marL="0" lvl="0" indent="0" algn="l" rtl="0">
            <a:spcBef>
              <a:spcPts val="0"/>
            </a:spcBef>
            <a:spcAft>
              <a:spcPts val="0"/>
            </a:spcAft>
            <a:buNone/>
          </a:pPr>
          <a:r>
            <a:rPr lang="en-US" sz="1100">
              <a:solidFill>
                <a:schemeClr val="dk1"/>
              </a:solidFill>
              <a:latin typeface="Calibri"/>
              <a:ea typeface="Calibri"/>
              <a:cs typeface="Calibri"/>
              <a:sym typeface="Calibri"/>
            </a:rPr>
            <a:t>El precio a final del periodo se obtiene despejando r = ((P1 - P0) + D1 )/ P0</a:t>
          </a:r>
          <a:endParaRPr sz="1400"/>
        </a:p>
        <a:p>
          <a:pPr marL="0" lvl="0" indent="0" algn="l" rtl="0">
            <a:spcBef>
              <a:spcPts val="0"/>
            </a:spcBef>
            <a:spcAft>
              <a:spcPts val="0"/>
            </a:spcAft>
            <a:buNone/>
          </a:pPr>
          <a:r>
            <a:rPr lang="en-US" sz="1100">
              <a:solidFill>
                <a:schemeClr val="dk1"/>
              </a:solidFill>
              <a:latin typeface="Calibri"/>
              <a:ea typeface="Calibri"/>
              <a:cs typeface="Calibri"/>
              <a:sym typeface="Calibri"/>
            </a:rPr>
            <a:t>Capital gain es la variación del precio de la acción</a:t>
          </a:r>
          <a:endParaRPr sz="1400"/>
        </a:p>
        <a:p>
          <a:pPr marL="0" lvl="0" indent="0" algn="l" rtl="0">
            <a:spcBef>
              <a:spcPts val="0"/>
            </a:spcBef>
            <a:spcAft>
              <a:spcPts val="0"/>
            </a:spcAft>
            <a:buNone/>
          </a:pPr>
          <a:r>
            <a:rPr lang="en-US" sz="1100">
              <a:solidFill>
                <a:schemeClr val="dk1"/>
              </a:solidFill>
              <a:latin typeface="Calibri"/>
              <a:ea typeface="Calibri"/>
              <a:cs typeface="Calibri"/>
              <a:sym typeface="Calibri"/>
            </a:rPr>
            <a:t>Dividend yield es el incremento de los dividendos respecto del precio</a:t>
          </a:r>
          <a:endParaRPr sz="1100"/>
        </a:p>
      </xdr:txBody>
    </xdr:sp>
    <xdr:clientData fLocksWithSheet="0"/>
  </xdr:oneCellAnchor>
</xdr:wsDr>
</file>

<file path=xl/drawings/drawing5.xml><?xml version="1.0" encoding="utf-8"?>
<xdr:wsDr xmlns:xdr="http://schemas.openxmlformats.org/drawingml/2006/spreadsheetDrawing" xmlns:a="http://schemas.openxmlformats.org/drawingml/2006/main">
  <xdr:oneCellAnchor>
    <xdr:from>
      <xdr:col>5</xdr:col>
      <xdr:colOff>247650</xdr:colOff>
      <xdr:row>4</xdr:row>
      <xdr:rowOff>95250</xdr:rowOff>
    </xdr:from>
    <xdr:ext cx="3457575" cy="1133475"/>
    <xdr:sp macro="" textlink="">
      <xdr:nvSpPr>
        <xdr:cNvPr id="9" name="Shape 9">
          <a:extLst>
            <a:ext uri="{FF2B5EF4-FFF2-40B4-BE49-F238E27FC236}">
              <a16:creationId xmlns:a16="http://schemas.microsoft.com/office/drawing/2014/main" id="{00000000-0008-0000-0500-000009000000}"/>
            </a:ext>
          </a:extLst>
        </xdr:cNvPr>
        <xdr:cNvSpPr txBox="1"/>
      </xdr:nvSpPr>
      <xdr:spPr>
        <a:xfrm>
          <a:off x="3619598" y="3217154"/>
          <a:ext cx="3452805" cy="1125693"/>
        </a:xfrm>
        <a:prstGeom prst="rect">
          <a:avLst/>
        </a:prstGeom>
        <a:noFill/>
        <a:ln>
          <a:noFill/>
        </a:ln>
      </xdr:spPr>
      <xdr:txBody>
        <a:bodyPr spcFirstLastPara="1" wrap="square" lIns="91425" tIns="45700" rIns="91425" bIns="45700" anchor="t" anchorCtr="0">
          <a:spAutoFit/>
        </a:bodyPr>
        <a:lstStyle/>
        <a:p>
          <a:pPr marL="0" lvl="0" indent="0" algn="l" rtl="0">
            <a:spcBef>
              <a:spcPts val="0"/>
            </a:spcBef>
            <a:spcAft>
              <a:spcPts val="0"/>
            </a:spcAft>
            <a:buNone/>
          </a:pPr>
          <a:r>
            <a:rPr lang="en-US" sz="1100">
              <a:solidFill>
                <a:schemeClr val="dk1"/>
              </a:solidFill>
              <a:latin typeface="Calibri"/>
              <a:ea typeface="Calibri"/>
              <a:cs typeface="Calibri"/>
              <a:sym typeface="Calibri"/>
            </a:rPr>
            <a:t>Se descuenta los 3 primeros periodos con un g=30%.</a:t>
          </a:r>
          <a:endParaRPr sz="1400"/>
        </a:p>
        <a:p>
          <a:pPr marL="0" lvl="0" indent="0" algn="l" rtl="0">
            <a:spcBef>
              <a:spcPts val="0"/>
            </a:spcBef>
            <a:spcAft>
              <a:spcPts val="0"/>
            </a:spcAft>
            <a:buNone/>
          </a:pPr>
          <a:r>
            <a:rPr lang="en-US" sz="1100">
              <a:solidFill>
                <a:schemeClr val="dk1"/>
              </a:solidFill>
              <a:latin typeface="Calibri"/>
              <a:ea typeface="Calibri"/>
              <a:cs typeface="Calibri"/>
              <a:sym typeface="Calibri"/>
            </a:rPr>
            <a:t>El cuarto dividendo crece al 8%.</a:t>
          </a:r>
          <a:endParaRPr sz="1400"/>
        </a:p>
        <a:p>
          <a:pPr marL="0" lvl="0" indent="0" algn="l" rtl="0">
            <a:spcBef>
              <a:spcPts val="0"/>
            </a:spcBef>
            <a:spcAft>
              <a:spcPts val="0"/>
            </a:spcAft>
            <a:buNone/>
          </a:pPr>
          <a:r>
            <a:rPr lang="en-US" sz="1100">
              <a:solidFill>
                <a:schemeClr val="dk1"/>
              </a:solidFill>
              <a:latin typeface="Calibri"/>
              <a:ea typeface="Calibri"/>
              <a:cs typeface="Calibri"/>
              <a:sym typeface="Calibri"/>
            </a:rPr>
            <a:t>Desde el periodo 4 hasta el infinito, se calcula el valor</a:t>
          </a:r>
          <a:endParaRPr sz="1400"/>
        </a:p>
        <a:p>
          <a:pPr marL="0" lvl="0" indent="0" algn="l" rtl="0">
            <a:spcBef>
              <a:spcPts val="0"/>
            </a:spcBef>
            <a:spcAft>
              <a:spcPts val="0"/>
            </a:spcAft>
            <a:buNone/>
          </a:pPr>
          <a:r>
            <a:rPr lang="en-US" sz="1100">
              <a:solidFill>
                <a:schemeClr val="dk1"/>
              </a:solidFill>
              <a:latin typeface="Calibri"/>
              <a:ea typeface="Calibri"/>
              <a:cs typeface="Calibri"/>
              <a:sym typeface="Calibri"/>
            </a:rPr>
            <a:t>presente de los flujos de dividendos (que crecen al 8%)</a:t>
          </a:r>
          <a:endParaRPr sz="1400"/>
        </a:p>
        <a:p>
          <a:pPr marL="0" lvl="0" indent="0" algn="l" rtl="0">
            <a:spcBef>
              <a:spcPts val="0"/>
            </a:spcBef>
            <a:spcAft>
              <a:spcPts val="0"/>
            </a:spcAft>
            <a:buNone/>
          </a:pPr>
          <a:r>
            <a:rPr lang="en-US" sz="1100">
              <a:solidFill>
                <a:schemeClr val="dk1"/>
              </a:solidFill>
              <a:latin typeface="Calibri"/>
              <a:ea typeface="Calibri"/>
              <a:cs typeface="Calibri"/>
              <a:sym typeface="Calibri"/>
            </a:rPr>
            <a:t>tomando como base el valor del dividendo del periodo 3.</a:t>
          </a:r>
          <a:endParaRPr sz="1400"/>
        </a:p>
        <a:p>
          <a:pPr marL="0" lvl="0" indent="0" algn="l" rtl="0">
            <a:spcBef>
              <a:spcPts val="0"/>
            </a:spcBef>
            <a:spcAft>
              <a:spcPts val="0"/>
            </a:spcAft>
            <a:buNone/>
          </a:pPr>
          <a:endParaRPr sz="1100"/>
        </a:p>
      </xdr:txBody>
    </xdr:sp>
    <xdr:clientData fLocksWithSheet="0"/>
  </xdr:oneCellAnchor>
</xdr:wsDr>
</file>

<file path=xl/drawings/drawing6.xml><?xml version="1.0" encoding="utf-8"?>
<xdr:wsDr xmlns:xdr="http://schemas.openxmlformats.org/drawingml/2006/spreadsheetDrawing" xmlns:a="http://schemas.openxmlformats.org/drawingml/2006/main">
  <xdr:oneCellAnchor>
    <xdr:from>
      <xdr:col>2</xdr:col>
      <xdr:colOff>257175</xdr:colOff>
      <xdr:row>1</xdr:row>
      <xdr:rowOff>0</xdr:rowOff>
    </xdr:from>
    <xdr:ext cx="3009900" cy="609600"/>
    <xdr:sp macro="" textlink="">
      <xdr:nvSpPr>
        <xdr:cNvPr id="10" name="Shape 10">
          <a:extLst>
            <a:ext uri="{FF2B5EF4-FFF2-40B4-BE49-F238E27FC236}">
              <a16:creationId xmlns:a16="http://schemas.microsoft.com/office/drawing/2014/main" id="{00000000-0008-0000-0600-00000A000000}"/>
            </a:ext>
          </a:extLst>
        </xdr:cNvPr>
        <xdr:cNvSpPr txBox="1"/>
      </xdr:nvSpPr>
      <xdr:spPr>
        <a:xfrm>
          <a:off x="3844018" y="3475494"/>
          <a:ext cx="3003964" cy="609013"/>
        </a:xfrm>
        <a:prstGeom prst="rect">
          <a:avLst/>
        </a:prstGeom>
        <a:noFill/>
        <a:ln>
          <a:noFill/>
        </a:ln>
      </xdr:spPr>
      <xdr:txBody>
        <a:bodyPr spcFirstLastPara="1" wrap="square" lIns="91425" tIns="45700" rIns="91425" bIns="45700" anchor="t" anchorCtr="0">
          <a:spAutoFit/>
        </a:bodyPr>
        <a:lstStyle/>
        <a:p>
          <a:pPr marL="0" lvl="0" indent="0" algn="l" rtl="0">
            <a:spcBef>
              <a:spcPts val="0"/>
            </a:spcBef>
            <a:spcAft>
              <a:spcPts val="0"/>
            </a:spcAft>
            <a:buNone/>
          </a:pPr>
          <a:r>
            <a:rPr lang="en-US" sz="1100">
              <a:solidFill>
                <a:schemeClr val="dk1"/>
              </a:solidFill>
              <a:latin typeface="Calibri"/>
              <a:ea typeface="Calibri"/>
              <a:cs typeface="Calibri"/>
              <a:sym typeface="Calibri"/>
            </a:rPr>
            <a:t>No indica que los dividendos tengan crecimiento.</a:t>
          </a:r>
          <a:endParaRPr sz="1400"/>
        </a:p>
        <a:p>
          <a:pPr marL="0" lvl="0" indent="0" algn="l" rtl="0">
            <a:spcBef>
              <a:spcPts val="0"/>
            </a:spcBef>
            <a:spcAft>
              <a:spcPts val="0"/>
            </a:spcAft>
            <a:buNone/>
          </a:pPr>
          <a:r>
            <a:rPr lang="en-US" sz="1100">
              <a:solidFill>
                <a:schemeClr val="dk1"/>
              </a:solidFill>
              <a:latin typeface="Calibri"/>
              <a:ea typeface="Calibri"/>
              <a:cs typeface="Calibri"/>
              <a:sym typeface="Calibri"/>
            </a:rPr>
            <a:t>Solo descuento por el costo de oportunidad.</a:t>
          </a:r>
          <a:endParaRPr sz="1400"/>
        </a:p>
        <a:p>
          <a:pPr marL="0" lvl="0" indent="0" algn="l" rtl="0">
            <a:spcBef>
              <a:spcPts val="0"/>
            </a:spcBef>
            <a:spcAft>
              <a:spcPts val="0"/>
            </a:spcAft>
            <a:buNone/>
          </a:pPr>
          <a:endParaRPr sz="1100"/>
        </a:p>
      </xdr:txBody>
    </xdr:sp>
    <xdr:clientData fLocksWithSheet="0"/>
  </xdr:oneCellAnchor>
</xdr:wsDr>
</file>

<file path=xl/drawings/drawing7.xml><?xml version="1.0" encoding="utf-8"?>
<xdr:wsDr xmlns:xdr="http://schemas.openxmlformats.org/drawingml/2006/spreadsheetDrawing" xmlns:a="http://schemas.openxmlformats.org/drawingml/2006/main">
  <xdr:oneCellAnchor>
    <xdr:from>
      <xdr:col>2</xdr:col>
      <xdr:colOff>266700</xdr:colOff>
      <xdr:row>1</xdr:row>
      <xdr:rowOff>38100</xdr:rowOff>
    </xdr:from>
    <xdr:ext cx="5829300" cy="609600"/>
    <xdr:sp macro="" textlink="">
      <xdr:nvSpPr>
        <xdr:cNvPr id="11" name="Shape 11">
          <a:extLst>
            <a:ext uri="{FF2B5EF4-FFF2-40B4-BE49-F238E27FC236}">
              <a16:creationId xmlns:a16="http://schemas.microsoft.com/office/drawing/2014/main" id="{00000000-0008-0000-0700-00000B000000}"/>
            </a:ext>
          </a:extLst>
        </xdr:cNvPr>
        <xdr:cNvSpPr txBox="1"/>
      </xdr:nvSpPr>
      <xdr:spPr>
        <a:xfrm>
          <a:off x="2435524" y="3475494"/>
          <a:ext cx="5820952" cy="609013"/>
        </a:xfrm>
        <a:prstGeom prst="rect">
          <a:avLst/>
        </a:prstGeom>
        <a:noFill/>
        <a:ln>
          <a:noFill/>
        </a:ln>
      </xdr:spPr>
      <xdr:txBody>
        <a:bodyPr spcFirstLastPara="1" wrap="square" lIns="91425" tIns="45700" rIns="91425" bIns="45700" anchor="t" anchorCtr="0">
          <a:spAutoFit/>
        </a:bodyPr>
        <a:lstStyle/>
        <a:p>
          <a:pPr marL="0" lvl="0" indent="0" algn="l" rtl="0">
            <a:spcBef>
              <a:spcPts val="0"/>
            </a:spcBef>
            <a:spcAft>
              <a:spcPts val="0"/>
            </a:spcAft>
            <a:buNone/>
          </a:pPr>
          <a:r>
            <a:rPr lang="en-US" sz="1100">
              <a:solidFill>
                <a:schemeClr val="dk1"/>
              </a:solidFill>
              <a:latin typeface="Calibri"/>
              <a:ea typeface="Calibri"/>
              <a:cs typeface="Calibri"/>
              <a:sym typeface="Calibri"/>
            </a:rPr>
            <a:t>Dado que el rendimiento del bono es igual que el costo de oportunidad, su valor presente, es igual</a:t>
          </a:r>
          <a:endParaRPr sz="1400"/>
        </a:p>
        <a:p>
          <a:pPr marL="0" lvl="0" indent="0" algn="l" rtl="0">
            <a:spcBef>
              <a:spcPts val="0"/>
            </a:spcBef>
            <a:spcAft>
              <a:spcPts val="0"/>
            </a:spcAft>
            <a:buNone/>
          </a:pPr>
          <a:r>
            <a:rPr lang="en-US" sz="1100">
              <a:solidFill>
                <a:schemeClr val="dk1"/>
              </a:solidFill>
              <a:latin typeface="Calibri"/>
              <a:ea typeface="Calibri"/>
              <a:cs typeface="Calibri"/>
              <a:sym typeface="Calibri"/>
            </a:rPr>
            <a:t>a su valor nominal.</a:t>
          </a:r>
          <a:endParaRPr sz="1400"/>
        </a:p>
        <a:p>
          <a:pPr marL="0" lvl="0" indent="0" algn="l" rtl="0">
            <a:spcBef>
              <a:spcPts val="0"/>
            </a:spcBef>
            <a:spcAft>
              <a:spcPts val="0"/>
            </a:spcAft>
            <a:buNone/>
          </a:pPr>
          <a:endParaRPr sz="1100"/>
        </a:p>
      </xdr:txBody>
    </xdr:sp>
    <xdr:clientData fLocksWithSheet="0"/>
  </xdr:oneCellAnchor>
</xdr:wsDr>
</file>

<file path=xl/drawings/drawing8.xml><?xml version="1.0" encoding="utf-8"?>
<xdr:wsDr xmlns:xdr="http://schemas.openxmlformats.org/drawingml/2006/spreadsheetDrawing" xmlns:a="http://schemas.openxmlformats.org/drawingml/2006/main">
  <xdr:oneCellAnchor>
    <xdr:from>
      <xdr:col>3</xdr:col>
      <xdr:colOff>28575</xdr:colOff>
      <xdr:row>1</xdr:row>
      <xdr:rowOff>133350</xdr:rowOff>
    </xdr:from>
    <xdr:ext cx="2647950" cy="790575"/>
    <xdr:sp macro="" textlink="">
      <xdr:nvSpPr>
        <xdr:cNvPr id="12" name="Shape 12">
          <a:extLst>
            <a:ext uri="{FF2B5EF4-FFF2-40B4-BE49-F238E27FC236}">
              <a16:creationId xmlns:a16="http://schemas.microsoft.com/office/drawing/2014/main" id="{00000000-0008-0000-0800-00000C000000}"/>
            </a:ext>
          </a:extLst>
        </xdr:cNvPr>
        <xdr:cNvSpPr txBox="1"/>
      </xdr:nvSpPr>
      <xdr:spPr>
        <a:xfrm>
          <a:off x="4022561" y="3389380"/>
          <a:ext cx="2646878" cy="781240"/>
        </a:xfrm>
        <a:prstGeom prst="rect">
          <a:avLst/>
        </a:prstGeom>
        <a:noFill/>
        <a:ln>
          <a:noFill/>
        </a:ln>
      </xdr:spPr>
      <xdr:txBody>
        <a:bodyPr spcFirstLastPara="1" wrap="square" lIns="91425" tIns="45700" rIns="91425" bIns="45700" anchor="t" anchorCtr="0">
          <a:spAutoFit/>
        </a:bodyPr>
        <a:lstStyle/>
        <a:p>
          <a:pPr marL="0" lvl="0" indent="0" algn="l" rtl="0">
            <a:spcBef>
              <a:spcPts val="0"/>
            </a:spcBef>
            <a:spcAft>
              <a:spcPts val="0"/>
            </a:spcAft>
            <a:buNone/>
          </a:pPr>
          <a:r>
            <a:rPr lang="en-US" sz="1100">
              <a:solidFill>
                <a:schemeClr val="dk1"/>
              </a:solidFill>
              <a:latin typeface="Calibri"/>
              <a:ea typeface="Calibri"/>
              <a:cs typeface="Calibri"/>
              <a:sym typeface="Calibri"/>
            </a:rPr>
            <a:t>Se asume que r = 10% del periodo 1 al 5.</a:t>
          </a:r>
          <a:endParaRPr sz="1400"/>
        </a:p>
        <a:p>
          <a:pPr marL="0" lvl="0" indent="0" algn="l" rtl="0">
            <a:spcBef>
              <a:spcPts val="0"/>
            </a:spcBef>
            <a:spcAft>
              <a:spcPts val="0"/>
            </a:spcAft>
            <a:buNone/>
          </a:pPr>
          <a:r>
            <a:rPr lang="en-US" sz="1100">
              <a:solidFill>
                <a:schemeClr val="dk1"/>
              </a:solidFill>
              <a:latin typeface="Calibri"/>
              <a:ea typeface="Calibri"/>
              <a:cs typeface="Calibri"/>
              <a:sym typeface="Calibri"/>
            </a:rPr>
            <a:t>Se asume que r = 15% del periodo 6 al 10.</a:t>
          </a:r>
          <a:endParaRPr sz="1400"/>
        </a:p>
        <a:p>
          <a:pPr marL="0" lvl="0" indent="0" algn="l" rtl="0">
            <a:spcBef>
              <a:spcPts val="0"/>
            </a:spcBef>
            <a:spcAft>
              <a:spcPts val="0"/>
            </a:spcAft>
            <a:buNone/>
          </a:pPr>
          <a:r>
            <a:rPr lang="en-US" sz="1100">
              <a:solidFill>
                <a:schemeClr val="dk1"/>
              </a:solidFill>
              <a:latin typeface="Calibri"/>
              <a:ea typeface="Calibri"/>
              <a:cs typeface="Calibri"/>
              <a:sym typeface="Calibri"/>
            </a:rPr>
            <a:t>Se asume que r = 5% del periodo 11 al 15.</a:t>
          </a:r>
          <a:endParaRPr sz="1100"/>
        </a:p>
        <a:p>
          <a:pPr marL="0" lvl="0" indent="0" algn="l" rtl="0">
            <a:spcBef>
              <a:spcPts val="0"/>
            </a:spcBef>
            <a:spcAft>
              <a:spcPts val="0"/>
            </a:spcAft>
            <a:buNone/>
          </a:pPr>
          <a:endParaRPr sz="1100"/>
        </a:p>
      </xdr:txBody>
    </xdr:sp>
    <xdr:clientData fLocksWithSheet="0"/>
  </xdr:oneCellAnchor>
  <xdr:oneCellAnchor>
    <xdr:from>
      <xdr:col>10</xdr:col>
      <xdr:colOff>247650</xdr:colOff>
      <xdr:row>2</xdr:row>
      <xdr:rowOff>76200</xdr:rowOff>
    </xdr:from>
    <xdr:ext cx="2514600" cy="609600"/>
    <xdr:sp macro="" textlink="">
      <xdr:nvSpPr>
        <xdr:cNvPr id="13" name="Shape 13">
          <a:extLst>
            <a:ext uri="{FF2B5EF4-FFF2-40B4-BE49-F238E27FC236}">
              <a16:creationId xmlns:a16="http://schemas.microsoft.com/office/drawing/2014/main" id="{00000000-0008-0000-0800-00000D000000}"/>
            </a:ext>
          </a:extLst>
        </xdr:cNvPr>
        <xdr:cNvSpPr txBox="1"/>
      </xdr:nvSpPr>
      <xdr:spPr>
        <a:xfrm>
          <a:off x="4089919" y="3475494"/>
          <a:ext cx="2512163" cy="609013"/>
        </a:xfrm>
        <a:prstGeom prst="rect">
          <a:avLst/>
        </a:prstGeom>
        <a:noFill/>
        <a:ln>
          <a:noFill/>
        </a:ln>
      </xdr:spPr>
      <xdr:txBody>
        <a:bodyPr spcFirstLastPara="1" wrap="square" lIns="91425" tIns="45700" rIns="91425" bIns="45700" anchor="t" anchorCtr="0">
          <a:spAutoFit/>
        </a:bodyPr>
        <a:lstStyle/>
        <a:p>
          <a:pPr marL="0" lvl="0" indent="0" algn="l" rtl="0">
            <a:spcBef>
              <a:spcPts val="0"/>
            </a:spcBef>
            <a:spcAft>
              <a:spcPts val="0"/>
            </a:spcAft>
            <a:buNone/>
          </a:pPr>
          <a:r>
            <a:rPr lang="en-US" sz="1100">
              <a:solidFill>
                <a:schemeClr val="dk1"/>
              </a:solidFill>
              <a:latin typeface="Calibri"/>
              <a:ea typeface="Calibri"/>
              <a:cs typeface="Calibri"/>
              <a:sym typeface="Calibri"/>
            </a:rPr>
            <a:t>El precio del bono termina siendo mayor</a:t>
          </a:r>
          <a:endParaRPr sz="1400"/>
        </a:p>
        <a:p>
          <a:pPr marL="0" lvl="0" indent="0" algn="l" rtl="0">
            <a:spcBef>
              <a:spcPts val="0"/>
            </a:spcBef>
            <a:spcAft>
              <a:spcPts val="0"/>
            </a:spcAft>
            <a:buNone/>
          </a:pPr>
          <a:r>
            <a:rPr lang="en-US" sz="1100">
              <a:solidFill>
                <a:schemeClr val="dk1"/>
              </a:solidFill>
              <a:latin typeface="Calibri"/>
              <a:ea typeface="Calibri"/>
              <a:cs typeface="Calibri"/>
              <a:sym typeface="Calibri"/>
            </a:rPr>
            <a:t>que su valor nominal.</a:t>
          </a:r>
          <a:endParaRPr sz="1400"/>
        </a:p>
        <a:p>
          <a:pPr marL="0" lvl="0" indent="0" algn="l" rtl="0">
            <a:spcBef>
              <a:spcPts val="0"/>
            </a:spcBef>
            <a:spcAft>
              <a:spcPts val="0"/>
            </a:spcAft>
            <a:buNone/>
          </a:pPr>
          <a:endParaRPr sz="1100"/>
        </a:p>
      </xdr:txBody>
    </xdr:sp>
    <xdr:clientData fLocksWithSheet="0"/>
  </xdr:oneCellAnchor>
</xdr:wsDr>
</file>

<file path=xl/drawings/drawing9.xml><?xml version="1.0" encoding="utf-8"?>
<xdr:wsDr xmlns:xdr="http://schemas.openxmlformats.org/drawingml/2006/spreadsheetDrawing" xmlns:a="http://schemas.openxmlformats.org/drawingml/2006/main">
  <xdr:oneCellAnchor>
    <xdr:from>
      <xdr:col>0</xdr:col>
      <xdr:colOff>19050</xdr:colOff>
      <xdr:row>11</xdr:row>
      <xdr:rowOff>9525</xdr:rowOff>
    </xdr:from>
    <xdr:ext cx="7439025" cy="1647825"/>
    <xdr:sp macro="" textlink="">
      <xdr:nvSpPr>
        <xdr:cNvPr id="14" name="Shape 14">
          <a:extLst>
            <a:ext uri="{FF2B5EF4-FFF2-40B4-BE49-F238E27FC236}">
              <a16:creationId xmlns:a16="http://schemas.microsoft.com/office/drawing/2014/main" id="{00000000-0008-0000-0900-00000E000000}"/>
            </a:ext>
          </a:extLst>
        </xdr:cNvPr>
        <xdr:cNvSpPr txBox="1"/>
      </xdr:nvSpPr>
      <xdr:spPr>
        <a:xfrm>
          <a:off x="1628252" y="2958814"/>
          <a:ext cx="7435497" cy="1642373"/>
        </a:xfrm>
        <a:prstGeom prst="rect">
          <a:avLst/>
        </a:prstGeom>
        <a:noFill/>
        <a:ln>
          <a:noFill/>
        </a:ln>
      </xdr:spPr>
      <xdr:txBody>
        <a:bodyPr spcFirstLastPara="1" wrap="square" lIns="91425" tIns="45700" rIns="91425" bIns="45700" anchor="t" anchorCtr="0">
          <a:spAutoFit/>
        </a:bodyPr>
        <a:lstStyle/>
        <a:p>
          <a:pPr marL="0" lvl="0" indent="0" algn="l" rtl="0">
            <a:spcBef>
              <a:spcPts val="0"/>
            </a:spcBef>
            <a:spcAft>
              <a:spcPts val="0"/>
            </a:spcAft>
            <a:buNone/>
          </a:pPr>
          <a:r>
            <a:rPr lang="en-US" sz="1100" b="0" i="0">
              <a:solidFill>
                <a:schemeClr val="dk1"/>
              </a:solidFill>
              <a:latin typeface="Calibri"/>
              <a:ea typeface="Calibri"/>
              <a:cs typeface="Calibri"/>
              <a:sym typeface="Calibri"/>
            </a:rPr>
            <a:t>La duration de un bono es una medida de sensibilidad del precio del bono ante cambios en las tasas de interés del mercado.</a:t>
          </a:r>
          <a:endParaRPr sz="1400"/>
        </a:p>
        <a:p>
          <a:pPr marL="0" lvl="0" indent="0" algn="l" rtl="0">
            <a:spcBef>
              <a:spcPts val="0"/>
            </a:spcBef>
            <a:spcAft>
              <a:spcPts val="0"/>
            </a:spcAft>
            <a:buNone/>
          </a:pPr>
          <a:r>
            <a:rPr lang="en-US" sz="1100" b="0" i="0">
              <a:solidFill>
                <a:schemeClr val="dk1"/>
              </a:solidFill>
              <a:latin typeface="Calibri"/>
              <a:ea typeface="Calibri"/>
              <a:cs typeface="Calibri"/>
              <a:sym typeface="Calibri"/>
            </a:rPr>
            <a:t>Es una medida del tiempo promedio que tarda un inversor en recuperar el valor presente de los flujos de efectivo de un bono, </a:t>
          </a:r>
          <a:endParaRPr sz="1400"/>
        </a:p>
        <a:p>
          <a:pPr marL="0" lvl="0" indent="0" algn="l" rtl="0">
            <a:spcBef>
              <a:spcPts val="0"/>
            </a:spcBef>
            <a:spcAft>
              <a:spcPts val="0"/>
            </a:spcAft>
            <a:buNone/>
          </a:pPr>
          <a:r>
            <a:rPr lang="en-US" sz="1100" b="0" i="0">
              <a:solidFill>
                <a:schemeClr val="dk1"/>
              </a:solidFill>
              <a:latin typeface="Calibri"/>
              <a:ea typeface="Calibri"/>
              <a:cs typeface="Calibri"/>
              <a:sym typeface="Calibri"/>
            </a:rPr>
            <a:t>incluyendo el pago de cupones y el valor nominal al vencimiento.</a:t>
          </a:r>
          <a:endParaRPr sz="1400"/>
        </a:p>
        <a:p>
          <a:pPr marL="0" lvl="0" indent="0" algn="l" rtl="0">
            <a:spcBef>
              <a:spcPts val="0"/>
            </a:spcBef>
            <a:spcAft>
              <a:spcPts val="0"/>
            </a:spcAft>
            <a:buNone/>
          </a:pPr>
          <a:r>
            <a:rPr lang="en-US" sz="1100" b="0" i="0">
              <a:solidFill>
                <a:schemeClr val="dk1"/>
              </a:solidFill>
              <a:latin typeface="Calibri"/>
              <a:ea typeface="Calibri"/>
              <a:cs typeface="Calibri"/>
              <a:sym typeface="Calibri"/>
            </a:rPr>
            <a:t>La duration se expresa en años y se calcula como una combinación ponderada de los plazos de los flujos de efectivo del bono,</a:t>
          </a:r>
          <a:endParaRPr sz="1400"/>
        </a:p>
        <a:p>
          <a:pPr marL="0" lvl="0" indent="0" algn="l" rtl="0">
            <a:spcBef>
              <a:spcPts val="0"/>
            </a:spcBef>
            <a:spcAft>
              <a:spcPts val="0"/>
            </a:spcAft>
            <a:buNone/>
          </a:pPr>
          <a:r>
            <a:rPr lang="en-US" sz="1100" b="0" i="0">
              <a:solidFill>
                <a:schemeClr val="dk1"/>
              </a:solidFill>
              <a:latin typeface="Calibri"/>
              <a:ea typeface="Calibri"/>
              <a:cs typeface="Calibri"/>
              <a:sym typeface="Calibri"/>
            </a:rPr>
            <a:t>utilizando como pesos los valores presentes de cada flujo de efectivo.</a:t>
          </a:r>
          <a:endParaRPr sz="1400"/>
        </a:p>
        <a:p>
          <a:pPr marL="0" lvl="0" indent="0" algn="l" rtl="0">
            <a:spcBef>
              <a:spcPts val="0"/>
            </a:spcBef>
            <a:spcAft>
              <a:spcPts val="0"/>
            </a:spcAft>
            <a:buNone/>
          </a:pPr>
          <a:r>
            <a:rPr lang="en-US" sz="1100" b="0" i="0">
              <a:solidFill>
                <a:schemeClr val="dk1"/>
              </a:solidFill>
              <a:latin typeface="Calibri"/>
              <a:ea typeface="Calibri"/>
              <a:cs typeface="Calibri"/>
              <a:sym typeface="Calibri"/>
            </a:rPr>
            <a:t>A mayor duration, mayor es la sensibilidad del precio a cambios en la tasas de interés.</a:t>
          </a:r>
          <a:endParaRPr sz="1400"/>
        </a:p>
        <a:p>
          <a:pPr marL="0" lvl="0" indent="0" algn="l" rtl="0">
            <a:spcBef>
              <a:spcPts val="0"/>
            </a:spcBef>
            <a:spcAft>
              <a:spcPts val="0"/>
            </a:spcAft>
            <a:buNone/>
          </a:pPr>
          <a:r>
            <a:rPr lang="en-US" sz="1100" b="0" i="0">
              <a:solidFill>
                <a:schemeClr val="dk1"/>
              </a:solidFill>
              <a:latin typeface="Calibri"/>
              <a:ea typeface="Calibri"/>
              <a:cs typeface="Calibri"/>
              <a:sym typeface="Calibri"/>
            </a:rPr>
            <a:t>En el ejercicio se observa que el bono 2 al devolver capital en cada periodo, tiene menor duration. Esto significa que el plazo </a:t>
          </a:r>
          <a:endParaRPr sz="1400"/>
        </a:p>
        <a:p>
          <a:pPr marL="0" lvl="0" indent="0" algn="l" rtl="0">
            <a:spcBef>
              <a:spcPts val="0"/>
            </a:spcBef>
            <a:spcAft>
              <a:spcPts val="0"/>
            </a:spcAft>
            <a:buNone/>
          </a:pPr>
          <a:r>
            <a:rPr lang="en-US" sz="1100" b="0" i="0">
              <a:solidFill>
                <a:schemeClr val="dk1"/>
              </a:solidFill>
              <a:latin typeface="Calibri"/>
              <a:ea typeface="Calibri"/>
              <a:cs typeface="Calibri"/>
              <a:sym typeface="Calibri"/>
            </a:rPr>
            <a:t>para recuperar el valor presente de los flujos, es menor. A su vez, se precio es menos sensible a variaciones de la tasa en</a:t>
          </a:r>
          <a:endParaRPr sz="1400"/>
        </a:p>
        <a:p>
          <a:pPr marL="0" lvl="0" indent="0" algn="l" rtl="0">
            <a:spcBef>
              <a:spcPts val="0"/>
            </a:spcBef>
            <a:spcAft>
              <a:spcPts val="0"/>
            </a:spcAft>
            <a:buNone/>
          </a:pPr>
          <a:r>
            <a:rPr lang="en-US" sz="1100" b="0" i="0">
              <a:solidFill>
                <a:schemeClr val="dk1"/>
              </a:solidFill>
              <a:latin typeface="Calibri"/>
              <a:ea typeface="Calibri"/>
              <a:cs typeface="Calibri"/>
              <a:sym typeface="Calibri"/>
            </a:rPr>
            <a:t>comparación con el bono 1.</a:t>
          </a:r>
          <a:endParaRPr sz="1100"/>
        </a:p>
      </xdr:txBody>
    </xdr:sp>
    <xdr:clientData fLocksWithSheet="0"/>
  </xdr:one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L1000"/>
  <sheetViews>
    <sheetView workbookViewId="0"/>
  </sheetViews>
  <sheetFormatPr baseColWidth="10" defaultColWidth="12.6328125" defaultRowHeight="15" customHeight="1" x14ac:dyDescent="0.25"/>
  <cols>
    <col min="1" max="26" width="10.6328125" customWidth="1"/>
  </cols>
  <sheetData>
    <row r="1" spans="1:12" ht="12" customHeight="1" x14ac:dyDescent="0.25">
      <c r="A1" s="1" t="s">
        <v>0</v>
      </c>
    </row>
    <row r="2" spans="1:12" ht="12" customHeight="1" x14ac:dyDescent="0.25"/>
    <row r="3" spans="1:12" ht="12" customHeight="1" x14ac:dyDescent="0.25"/>
    <row r="4" spans="1:12" ht="12" customHeight="1" x14ac:dyDescent="0.3">
      <c r="A4" s="2"/>
      <c r="B4" s="64" t="s">
        <v>1</v>
      </c>
      <c r="C4" s="65"/>
      <c r="D4" s="65"/>
      <c r="E4" s="65"/>
      <c r="F4" s="65"/>
      <c r="G4" s="65"/>
      <c r="H4" s="65"/>
      <c r="I4" s="65"/>
      <c r="J4" s="65"/>
      <c r="K4" s="65"/>
      <c r="L4" s="2"/>
    </row>
    <row r="5" spans="1:12" ht="12" customHeight="1" x14ac:dyDescent="0.3">
      <c r="A5" s="2"/>
      <c r="B5" s="3"/>
      <c r="C5" s="3"/>
      <c r="D5" s="3"/>
      <c r="E5" s="3"/>
      <c r="F5" s="3"/>
      <c r="G5" s="3"/>
      <c r="H5" s="3"/>
      <c r="I5" s="3"/>
      <c r="J5" s="3"/>
      <c r="K5" s="3"/>
      <c r="L5" s="2"/>
    </row>
    <row r="6" spans="1:12" ht="12" customHeight="1" x14ac:dyDescent="0.3">
      <c r="A6" s="2">
        <v>1</v>
      </c>
      <c r="B6" s="4"/>
      <c r="C6" s="4"/>
      <c r="D6" s="4"/>
      <c r="E6" s="4"/>
      <c r="F6" s="4"/>
      <c r="G6" s="4"/>
      <c r="H6" s="4"/>
      <c r="I6" s="4"/>
      <c r="J6" s="4"/>
      <c r="K6" s="4"/>
      <c r="L6" s="4"/>
    </row>
    <row r="7" spans="1:12" ht="12" customHeight="1" x14ac:dyDescent="0.3">
      <c r="A7" s="2"/>
      <c r="B7" s="66" t="s">
        <v>2</v>
      </c>
      <c r="C7" s="65"/>
      <c r="D7" s="65"/>
      <c r="E7" s="65"/>
      <c r="F7" s="65"/>
      <c r="G7" s="65"/>
      <c r="H7" s="65"/>
      <c r="I7" s="65"/>
      <c r="J7" s="65"/>
      <c r="K7" s="2"/>
      <c r="L7" s="2"/>
    </row>
    <row r="8" spans="1:12" ht="12" customHeight="1" x14ac:dyDescent="0.3">
      <c r="A8" s="2"/>
      <c r="B8" s="5" t="s">
        <v>3</v>
      </c>
      <c r="C8" s="2"/>
      <c r="D8" s="2"/>
      <c r="E8" s="2"/>
      <c r="F8" s="2"/>
      <c r="G8" s="2"/>
      <c r="H8" s="2"/>
      <c r="I8" s="2"/>
      <c r="J8" s="2"/>
      <c r="K8" s="2"/>
      <c r="L8" s="2"/>
    </row>
    <row r="9" spans="1:12" ht="12" customHeight="1" x14ac:dyDescent="0.3">
      <c r="A9" s="2"/>
      <c r="B9" s="5" t="s">
        <v>4</v>
      </c>
      <c r="C9" s="2"/>
      <c r="D9" s="2"/>
      <c r="E9" s="2"/>
      <c r="F9" s="2"/>
      <c r="G9" s="2"/>
      <c r="H9" s="2"/>
      <c r="I9" s="2"/>
      <c r="J9" s="2"/>
      <c r="K9" s="2"/>
      <c r="L9" s="2"/>
    </row>
    <row r="10" spans="1:12" ht="12" customHeight="1" x14ac:dyDescent="0.3">
      <c r="A10" s="2"/>
      <c r="B10" s="6" t="s">
        <v>5</v>
      </c>
      <c r="C10" s="2"/>
      <c r="D10" s="2"/>
      <c r="E10" s="2"/>
      <c r="F10" s="2"/>
      <c r="G10" s="2"/>
      <c r="H10" s="2"/>
      <c r="I10" s="2"/>
      <c r="J10" s="2"/>
      <c r="K10" s="2"/>
      <c r="L10" s="2"/>
    </row>
    <row r="11" spans="1:12" ht="12" customHeight="1" x14ac:dyDescent="0.3">
      <c r="A11" s="2">
        <v>2</v>
      </c>
      <c r="B11" s="4"/>
      <c r="C11" s="4"/>
      <c r="D11" s="4"/>
      <c r="E11" s="4"/>
      <c r="F11" s="4"/>
      <c r="G11" s="4"/>
      <c r="H11" s="4"/>
      <c r="I11" s="4"/>
      <c r="J11" s="4"/>
      <c r="K11" s="4"/>
      <c r="L11" s="4"/>
    </row>
    <row r="12" spans="1:12" ht="12" customHeight="1" x14ac:dyDescent="0.3">
      <c r="A12" s="2"/>
      <c r="B12" s="6" t="s">
        <v>6</v>
      </c>
      <c r="C12" s="2"/>
      <c r="D12" s="2"/>
      <c r="E12" s="2"/>
      <c r="F12" s="2"/>
      <c r="G12" s="2"/>
      <c r="H12" s="2"/>
      <c r="I12" s="2"/>
      <c r="J12" s="2"/>
      <c r="K12" s="2"/>
      <c r="L12" s="2"/>
    </row>
    <row r="13" spans="1:12" ht="12" customHeight="1" x14ac:dyDescent="0.3">
      <c r="A13" s="2"/>
      <c r="B13" s="6" t="s">
        <v>7</v>
      </c>
      <c r="C13" s="2"/>
      <c r="D13" s="2"/>
      <c r="E13" s="2"/>
      <c r="F13" s="2"/>
      <c r="G13" s="2"/>
      <c r="H13" s="2"/>
      <c r="I13" s="2"/>
      <c r="J13" s="2"/>
      <c r="K13" s="2"/>
      <c r="L13" s="2"/>
    </row>
    <row r="14" spans="1:12" ht="12" customHeight="1" x14ac:dyDescent="0.3">
      <c r="A14" s="2">
        <v>3</v>
      </c>
      <c r="B14" s="7"/>
      <c r="C14" s="4"/>
      <c r="D14" s="4"/>
      <c r="E14" s="4"/>
      <c r="F14" s="4"/>
      <c r="G14" s="4"/>
      <c r="H14" s="4"/>
      <c r="I14" s="4"/>
      <c r="J14" s="4"/>
      <c r="K14" s="4"/>
      <c r="L14" s="4"/>
    </row>
    <row r="15" spans="1:12" ht="12" customHeight="1" x14ac:dyDescent="0.3">
      <c r="A15" s="2"/>
      <c r="B15" s="6" t="s">
        <v>8</v>
      </c>
      <c r="C15" s="2"/>
      <c r="D15" s="2"/>
      <c r="E15" s="2"/>
      <c r="F15" s="2"/>
      <c r="G15" s="2"/>
      <c r="H15" s="2"/>
      <c r="I15" s="2"/>
      <c r="J15" s="2"/>
      <c r="K15" s="2"/>
      <c r="L15" s="2"/>
    </row>
    <row r="16" spans="1:12" ht="12" customHeight="1" x14ac:dyDescent="0.3">
      <c r="A16" s="2"/>
      <c r="B16" s="8" t="s">
        <v>9</v>
      </c>
      <c r="C16" s="9"/>
      <c r="D16" s="10"/>
      <c r="E16" s="10"/>
      <c r="F16" s="2"/>
      <c r="G16" s="2"/>
      <c r="H16" s="2"/>
      <c r="I16" s="2"/>
      <c r="J16" s="2"/>
      <c r="K16" s="2"/>
      <c r="L16" s="2"/>
    </row>
    <row r="17" spans="1:12" ht="12" customHeight="1" x14ac:dyDescent="0.3">
      <c r="A17" s="2">
        <v>4</v>
      </c>
      <c r="B17" s="11"/>
      <c r="C17" s="12"/>
      <c r="D17" s="13"/>
      <c r="E17" s="13"/>
      <c r="F17" s="4"/>
      <c r="G17" s="4"/>
      <c r="H17" s="4"/>
      <c r="I17" s="4"/>
      <c r="J17" s="4"/>
      <c r="K17" s="4"/>
      <c r="L17" s="4"/>
    </row>
    <row r="18" spans="1:12" ht="12" customHeight="1" x14ac:dyDescent="0.3">
      <c r="A18" s="2"/>
      <c r="B18" s="8" t="s">
        <v>10</v>
      </c>
      <c r="C18" s="9"/>
      <c r="D18" s="10"/>
      <c r="E18" s="10"/>
      <c r="F18" s="2"/>
      <c r="G18" s="2"/>
      <c r="H18" s="2"/>
      <c r="I18" s="2"/>
      <c r="J18" s="2"/>
      <c r="K18" s="2"/>
      <c r="L18" s="2"/>
    </row>
    <row r="19" spans="1:12" ht="12" customHeight="1" x14ac:dyDescent="0.3">
      <c r="A19" s="2"/>
      <c r="B19" s="8" t="s">
        <v>11</v>
      </c>
      <c r="C19" s="9"/>
      <c r="D19" s="10"/>
      <c r="E19" s="10"/>
      <c r="F19" s="2"/>
      <c r="G19" s="2"/>
      <c r="H19" s="2"/>
      <c r="I19" s="2"/>
      <c r="J19" s="2"/>
      <c r="K19" s="2"/>
      <c r="L19" s="2"/>
    </row>
    <row r="20" spans="1:12" ht="12" customHeight="1" x14ac:dyDescent="0.3">
      <c r="A20" s="2">
        <v>5</v>
      </c>
      <c r="B20" s="11"/>
      <c r="C20" s="12"/>
      <c r="D20" s="13"/>
      <c r="E20" s="13"/>
      <c r="F20" s="4"/>
      <c r="G20" s="4"/>
      <c r="H20" s="4"/>
      <c r="I20" s="4"/>
      <c r="J20" s="4"/>
      <c r="K20" s="4"/>
      <c r="L20" s="4"/>
    </row>
    <row r="21" spans="1:12" ht="12" customHeight="1" x14ac:dyDescent="0.3">
      <c r="A21" s="2"/>
      <c r="B21" s="8" t="s">
        <v>12</v>
      </c>
      <c r="C21" s="9"/>
      <c r="D21" s="10"/>
      <c r="E21" s="10"/>
      <c r="F21" s="2"/>
      <c r="G21" s="2"/>
      <c r="H21" s="2"/>
      <c r="I21" s="2"/>
      <c r="J21" s="2"/>
      <c r="K21" s="2"/>
      <c r="L21" s="2"/>
    </row>
    <row r="22" spans="1:12" ht="12" customHeight="1" x14ac:dyDescent="0.3">
      <c r="A22" s="2"/>
      <c r="B22" s="8" t="s">
        <v>13</v>
      </c>
      <c r="C22" s="9"/>
      <c r="D22" s="10"/>
      <c r="E22" s="10"/>
      <c r="F22" s="2"/>
      <c r="G22" s="2"/>
      <c r="H22" s="2"/>
      <c r="I22" s="2"/>
      <c r="J22" s="2"/>
      <c r="K22" s="2"/>
      <c r="L22" s="2"/>
    </row>
    <row r="23" spans="1:12" ht="12" customHeight="1" x14ac:dyDescent="0.3">
      <c r="A23" s="2"/>
      <c r="B23" s="8" t="s">
        <v>14</v>
      </c>
      <c r="C23" s="9"/>
      <c r="D23" s="10"/>
      <c r="E23" s="10"/>
      <c r="F23" s="2"/>
      <c r="G23" s="2"/>
      <c r="H23" s="2"/>
      <c r="I23" s="2"/>
      <c r="J23" s="2"/>
      <c r="K23" s="2"/>
      <c r="L23" s="2"/>
    </row>
    <row r="24" spans="1:12" ht="12" customHeight="1" x14ac:dyDescent="0.3">
      <c r="A24" s="2"/>
      <c r="B24" s="8" t="s">
        <v>15</v>
      </c>
      <c r="C24" s="9"/>
      <c r="D24" s="10"/>
      <c r="E24" s="10"/>
      <c r="F24" s="2"/>
      <c r="G24" s="2"/>
      <c r="H24" s="2"/>
      <c r="I24" s="2"/>
      <c r="J24" s="2"/>
      <c r="K24" s="2"/>
      <c r="L24" s="2"/>
    </row>
    <row r="25" spans="1:12" ht="12" customHeight="1" x14ac:dyDescent="0.3">
      <c r="A25" s="2"/>
      <c r="B25" s="8" t="s">
        <v>16</v>
      </c>
      <c r="C25" s="9"/>
      <c r="D25" s="10"/>
      <c r="E25" s="10"/>
      <c r="F25" s="2"/>
      <c r="G25" s="2"/>
      <c r="H25" s="2"/>
      <c r="I25" s="2"/>
      <c r="J25" s="2"/>
      <c r="K25" s="2"/>
      <c r="L25" s="2"/>
    </row>
    <row r="26" spans="1:12" ht="12" customHeight="1" x14ac:dyDescent="0.3">
      <c r="A26" s="2"/>
      <c r="B26" s="8" t="s">
        <v>17</v>
      </c>
      <c r="C26" s="9"/>
      <c r="D26" s="10"/>
      <c r="E26" s="10"/>
      <c r="F26" s="2"/>
      <c r="G26" s="2"/>
      <c r="H26" s="2"/>
      <c r="I26" s="2"/>
      <c r="J26" s="2"/>
      <c r="K26" s="2"/>
      <c r="L26" s="2"/>
    </row>
    <row r="27" spans="1:12" ht="12" customHeight="1" x14ac:dyDescent="0.3">
      <c r="A27" s="2">
        <v>6</v>
      </c>
      <c r="B27" s="11"/>
      <c r="C27" s="12"/>
      <c r="D27" s="13"/>
      <c r="E27" s="13"/>
      <c r="F27" s="4"/>
      <c r="G27" s="4"/>
      <c r="H27" s="4"/>
      <c r="I27" s="4"/>
      <c r="J27" s="4"/>
      <c r="K27" s="4"/>
      <c r="L27" s="4"/>
    </row>
    <row r="28" spans="1:12" ht="12" customHeight="1" x14ac:dyDescent="0.3">
      <c r="A28" s="2"/>
      <c r="B28" s="8" t="s">
        <v>18</v>
      </c>
      <c r="C28" s="9"/>
      <c r="D28" s="10"/>
      <c r="E28" s="10"/>
      <c r="F28" s="2"/>
      <c r="G28" s="2"/>
      <c r="H28" s="2"/>
      <c r="I28" s="2"/>
      <c r="J28" s="2"/>
      <c r="K28" s="2"/>
      <c r="L28" s="2"/>
    </row>
    <row r="29" spans="1:12" ht="12" customHeight="1" x14ac:dyDescent="0.3">
      <c r="A29" s="2"/>
      <c r="B29" s="8" t="s">
        <v>19</v>
      </c>
      <c r="C29" s="9"/>
      <c r="D29" s="10"/>
      <c r="E29" s="10"/>
      <c r="F29" s="2"/>
      <c r="G29" s="2"/>
      <c r="H29" s="2"/>
      <c r="I29" s="2"/>
      <c r="J29" s="2"/>
      <c r="K29" s="2"/>
      <c r="L29" s="2"/>
    </row>
    <row r="30" spans="1:12" ht="12" customHeight="1" x14ac:dyDescent="0.3">
      <c r="A30" s="2"/>
      <c r="B30" s="13" t="s">
        <v>20</v>
      </c>
      <c r="C30" s="14"/>
      <c r="D30" s="4"/>
      <c r="E30" s="4"/>
      <c r="F30" s="4"/>
      <c r="G30" s="4"/>
      <c r="H30" s="4"/>
      <c r="I30" s="4"/>
      <c r="J30" s="4"/>
      <c r="K30" s="4"/>
      <c r="L30" s="4"/>
    </row>
    <row r="31" spans="1:12" ht="12" customHeight="1" x14ac:dyDescent="0.3">
      <c r="A31" s="2"/>
      <c r="B31" s="15"/>
      <c r="C31" s="2"/>
      <c r="D31" s="2"/>
      <c r="E31" s="2"/>
      <c r="F31" s="2"/>
      <c r="G31" s="2"/>
      <c r="H31" s="2"/>
      <c r="I31" s="2"/>
      <c r="J31" s="2"/>
      <c r="K31" s="2"/>
      <c r="L31" s="2"/>
    </row>
    <row r="32" spans="1:12" ht="12" customHeight="1" x14ac:dyDescent="0.3">
      <c r="A32" s="2"/>
      <c r="B32" s="64" t="s">
        <v>21</v>
      </c>
      <c r="C32" s="65"/>
      <c r="D32" s="65"/>
      <c r="E32" s="65"/>
      <c r="F32" s="65"/>
      <c r="G32" s="65"/>
      <c r="H32" s="65"/>
      <c r="I32" s="65"/>
      <c r="J32" s="65"/>
      <c r="K32" s="65"/>
      <c r="L32" s="2"/>
    </row>
    <row r="33" spans="1:12" ht="12" customHeight="1" x14ac:dyDescent="0.3">
      <c r="A33" s="2">
        <v>7</v>
      </c>
      <c r="B33" s="16"/>
      <c r="C33" s="4"/>
      <c r="D33" s="4"/>
      <c r="E33" s="17"/>
      <c r="F33" s="18"/>
      <c r="G33" s="4"/>
      <c r="H33" s="4"/>
      <c r="I33" s="4"/>
      <c r="J33" s="4"/>
      <c r="K33" s="4"/>
      <c r="L33" s="4"/>
    </row>
    <row r="34" spans="1:12" ht="12" customHeight="1" x14ac:dyDescent="0.3">
      <c r="A34" s="2"/>
      <c r="B34" s="19" t="s">
        <v>22</v>
      </c>
      <c r="C34" s="20"/>
      <c r="D34" s="20"/>
      <c r="E34" s="20"/>
      <c r="F34" s="20"/>
      <c r="G34" s="20"/>
      <c r="H34" s="20"/>
      <c r="I34" s="20"/>
      <c r="J34" s="20"/>
      <c r="K34" s="20"/>
      <c r="L34" s="20"/>
    </row>
    <row r="35" spans="1:12" ht="12" customHeight="1" x14ac:dyDescent="0.3">
      <c r="A35" s="2"/>
      <c r="B35" s="20" t="s">
        <v>23</v>
      </c>
      <c r="C35" s="20"/>
      <c r="D35" s="20"/>
      <c r="E35" s="20"/>
      <c r="F35" s="20"/>
      <c r="G35" s="20"/>
      <c r="H35" s="20"/>
      <c r="I35" s="20"/>
      <c r="J35" s="20"/>
      <c r="K35" s="20"/>
      <c r="L35" s="20"/>
    </row>
    <row r="36" spans="1:12" ht="12" customHeight="1" x14ac:dyDescent="0.3">
      <c r="A36" s="2">
        <v>8</v>
      </c>
      <c r="B36" s="4"/>
      <c r="C36" s="4"/>
      <c r="D36" s="4"/>
      <c r="E36" s="4"/>
      <c r="F36" s="4"/>
      <c r="G36" s="4"/>
      <c r="H36" s="4"/>
      <c r="I36" s="4"/>
      <c r="J36" s="4"/>
      <c r="K36" s="4"/>
      <c r="L36" s="4"/>
    </row>
    <row r="37" spans="1:12" ht="12" customHeight="1" x14ac:dyDescent="0.3">
      <c r="A37" s="2"/>
      <c r="B37" s="20" t="s">
        <v>24</v>
      </c>
      <c r="C37" s="20"/>
      <c r="D37" s="20"/>
      <c r="E37" s="20"/>
      <c r="F37" s="20"/>
      <c r="G37" s="20"/>
      <c r="H37" s="20"/>
      <c r="I37" s="20"/>
      <c r="J37" s="20"/>
      <c r="K37" s="20"/>
      <c r="L37" s="20"/>
    </row>
    <row r="38" spans="1:12" ht="12" customHeight="1" x14ac:dyDescent="0.3">
      <c r="A38" s="2">
        <v>9</v>
      </c>
      <c r="B38" s="4"/>
      <c r="C38" s="4"/>
      <c r="D38" s="4"/>
      <c r="E38" s="4"/>
      <c r="F38" s="4"/>
      <c r="G38" s="4"/>
      <c r="H38" s="4"/>
      <c r="I38" s="4"/>
      <c r="J38" s="4"/>
      <c r="K38" s="4"/>
      <c r="L38" s="4"/>
    </row>
    <row r="39" spans="1:12" ht="12" customHeight="1" x14ac:dyDescent="0.3">
      <c r="A39" s="2"/>
      <c r="B39" s="2" t="s">
        <v>25</v>
      </c>
      <c r="C39" s="2"/>
      <c r="D39" s="2"/>
      <c r="E39" s="2"/>
      <c r="F39" s="2"/>
      <c r="G39" s="2"/>
      <c r="H39" s="2"/>
      <c r="I39" s="2"/>
      <c r="J39" s="2"/>
      <c r="K39" s="2"/>
      <c r="L39" s="2"/>
    </row>
    <row r="40" spans="1:12" ht="12" customHeight="1" x14ac:dyDescent="0.3">
      <c r="A40" s="2"/>
      <c r="B40" s="2" t="s">
        <v>26</v>
      </c>
      <c r="C40" s="2"/>
      <c r="D40" s="2"/>
      <c r="E40" s="2"/>
      <c r="F40" s="2"/>
      <c r="G40" s="2"/>
      <c r="H40" s="2"/>
      <c r="I40" s="2"/>
      <c r="J40" s="2"/>
      <c r="K40" s="2"/>
      <c r="L40" s="2"/>
    </row>
    <row r="41" spans="1:12" ht="12" customHeight="1" x14ac:dyDescent="0.3">
      <c r="A41" s="2"/>
      <c r="B41" s="2" t="s">
        <v>27</v>
      </c>
      <c r="C41" s="2"/>
      <c r="D41" s="2"/>
      <c r="E41" s="2"/>
      <c r="F41" s="2"/>
      <c r="G41" s="2"/>
      <c r="H41" s="2"/>
      <c r="I41" s="2"/>
      <c r="J41" s="2"/>
      <c r="K41" s="2"/>
      <c r="L41" s="2"/>
    </row>
    <row r="42" spans="1:12" ht="12" customHeight="1" x14ac:dyDescent="0.3">
      <c r="A42" s="2"/>
      <c r="B42" s="2" t="s">
        <v>28</v>
      </c>
      <c r="C42" s="2"/>
      <c r="D42" s="2"/>
      <c r="E42" s="2"/>
      <c r="F42" s="2"/>
      <c r="G42" s="2"/>
      <c r="H42" s="2"/>
      <c r="I42" s="2"/>
      <c r="J42" s="2"/>
      <c r="K42" s="2"/>
      <c r="L42" s="2"/>
    </row>
    <row r="43" spans="1:12" ht="12" customHeight="1" x14ac:dyDescent="0.3">
      <c r="A43" s="2">
        <v>10</v>
      </c>
      <c r="B43" s="4"/>
      <c r="C43" s="4"/>
      <c r="D43" s="4"/>
      <c r="E43" s="4"/>
      <c r="F43" s="4"/>
      <c r="G43" s="4"/>
      <c r="H43" s="4"/>
      <c r="I43" s="4"/>
      <c r="J43" s="4"/>
      <c r="K43" s="4"/>
      <c r="L43" s="4"/>
    </row>
    <row r="44" spans="1:12" ht="12" customHeight="1" x14ac:dyDescent="0.3">
      <c r="A44" s="2"/>
      <c r="B44" s="2" t="s">
        <v>29</v>
      </c>
      <c r="C44" s="2"/>
      <c r="D44" s="2"/>
      <c r="E44" s="2"/>
      <c r="F44" s="2"/>
      <c r="G44" s="2"/>
      <c r="H44" s="2"/>
      <c r="I44" s="2"/>
      <c r="J44" s="2"/>
      <c r="K44" s="2"/>
      <c r="L44" s="2"/>
    </row>
    <row r="45" spans="1:12" ht="12" customHeight="1" x14ac:dyDescent="0.3">
      <c r="A45" s="2"/>
      <c r="B45" s="2"/>
      <c r="C45" s="2"/>
      <c r="D45" s="2">
        <v>1</v>
      </c>
      <c r="E45" s="2">
        <v>2</v>
      </c>
      <c r="F45" s="2">
        <v>3</v>
      </c>
      <c r="G45" s="2"/>
      <c r="H45" s="2"/>
      <c r="I45" s="2"/>
      <c r="J45" s="2"/>
      <c r="K45" s="2"/>
      <c r="L45" s="2"/>
    </row>
    <row r="46" spans="1:12" ht="12" customHeight="1" x14ac:dyDescent="0.3">
      <c r="A46" s="2"/>
      <c r="B46" s="2" t="s">
        <v>30</v>
      </c>
      <c r="C46" s="2"/>
      <c r="D46" s="2">
        <v>50</v>
      </c>
      <c r="E46" s="2">
        <v>50</v>
      </c>
      <c r="F46" s="2">
        <v>50</v>
      </c>
      <c r="G46" s="2"/>
      <c r="H46" s="2" t="s">
        <v>31</v>
      </c>
      <c r="I46" s="2"/>
      <c r="J46" s="2"/>
      <c r="K46" s="2"/>
      <c r="L46" s="2"/>
    </row>
    <row r="47" spans="1:12" ht="12" customHeight="1" x14ac:dyDescent="0.3">
      <c r="A47" s="2"/>
      <c r="B47" s="2"/>
      <c r="C47" s="2"/>
      <c r="D47" s="2">
        <v>0</v>
      </c>
      <c r="E47" s="2">
        <v>0</v>
      </c>
      <c r="F47" s="2">
        <v>1000</v>
      </c>
      <c r="G47" s="2"/>
      <c r="H47" s="2" t="s">
        <v>32</v>
      </c>
      <c r="I47" s="2"/>
      <c r="J47" s="2"/>
      <c r="K47" s="2"/>
      <c r="L47" s="2"/>
    </row>
    <row r="48" spans="1:12" ht="12" customHeight="1" x14ac:dyDescent="0.3">
      <c r="A48" s="2"/>
      <c r="B48" s="2"/>
      <c r="C48" s="2"/>
      <c r="D48" s="2"/>
      <c r="E48" s="2"/>
      <c r="F48" s="2"/>
      <c r="G48" s="2"/>
      <c r="H48" s="2"/>
      <c r="I48" s="2"/>
      <c r="J48" s="2"/>
      <c r="K48" s="2"/>
      <c r="L48" s="2"/>
    </row>
    <row r="49" spans="1:12" ht="12" customHeight="1" x14ac:dyDescent="0.3">
      <c r="A49" s="2"/>
      <c r="B49" s="2" t="s">
        <v>33</v>
      </c>
      <c r="C49" s="2"/>
      <c r="D49" s="2">
        <v>50</v>
      </c>
      <c r="E49" s="21">
        <f>0.05*666.666</f>
        <v>33.333300000000001</v>
      </c>
      <c r="F49" s="21">
        <f>0.05*333.3333</f>
        <v>16.666665000000002</v>
      </c>
      <c r="G49" s="2"/>
      <c r="H49" s="2" t="s">
        <v>31</v>
      </c>
      <c r="I49" s="2"/>
      <c r="J49" s="2"/>
      <c r="K49" s="2"/>
      <c r="L49" s="2"/>
    </row>
    <row r="50" spans="1:12" ht="12" customHeight="1" x14ac:dyDescent="0.3">
      <c r="A50" s="2"/>
      <c r="B50" s="2"/>
      <c r="C50" s="2"/>
      <c r="D50" s="21">
        <v>333.33300000000003</v>
      </c>
      <c r="E50" s="21">
        <v>333.33300000000003</v>
      </c>
      <c r="F50" s="21">
        <v>333.33300000000003</v>
      </c>
      <c r="G50" s="2"/>
      <c r="H50" s="2" t="s">
        <v>32</v>
      </c>
      <c r="I50" s="2"/>
      <c r="J50" s="2"/>
      <c r="K50" s="2"/>
      <c r="L50" s="2"/>
    </row>
    <row r="51" spans="1:12" ht="12" customHeight="1" x14ac:dyDescent="0.3">
      <c r="A51" s="2"/>
      <c r="B51" s="2" t="s">
        <v>34</v>
      </c>
      <c r="C51" s="2"/>
      <c r="D51" s="2"/>
      <c r="E51" s="2"/>
      <c r="F51" s="2"/>
      <c r="G51" s="2"/>
      <c r="H51" s="2"/>
      <c r="I51" s="2"/>
      <c r="J51" s="2"/>
      <c r="K51" s="2"/>
      <c r="L51" s="2"/>
    </row>
    <row r="52" spans="1:12" ht="12" customHeight="1" x14ac:dyDescent="0.3">
      <c r="A52" s="2"/>
      <c r="B52" s="2" t="s">
        <v>35</v>
      </c>
      <c r="C52" s="2"/>
      <c r="D52" s="2"/>
      <c r="E52" s="2"/>
      <c r="F52" s="2"/>
      <c r="G52" s="2"/>
      <c r="H52" s="2"/>
      <c r="I52" s="2"/>
      <c r="J52" s="2"/>
      <c r="K52" s="2"/>
      <c r="L52" s="2"/>
    </row>
    <row r="53" spans="1:12" ht="12" customHeight="1" x14ac:dyDescent="0.3">
      <c r="A53" s="2"/>
      <c r="B53" s="2" t="s">
        <v>36</v>
      </c>
      <c r="C53" s="2"/>
      <c r="D53" s="2"/>
      <c r="E53" s="2"/>
      <c r="F53" s="2"/>
      <c r="G53" s="2"/>
      <c r="H53" s="2"/>
      <c r="I53" s="2"/>
      <c r="J53" s="2"/>
      <c r="K53" s="2"/>
      <c r="L53" s="2"/>
    </row>
    <row r="54" spans="1:12" ht="12" customHeight="1" x14ac:dyDescent="0.3">
      <c r="A54" s="2"/>
      <c r="B54" s="4"/>
      <c r="C54" s="4"/>
      <c r="D54" s="4"/>
      <c r="E54" s="4"/>
      <c r="F54" s="4"/>
      <c r="G54" s="4"/>
      <c r="H54" s="4"/>
      <c r="I54" s="4"/>
      <c r="J54" s="4"/>
      <c r="K54" s="4"/>
      <c r="L54" s="4"/>
    </row>
    <row r="55" spans="1:12" ht="12" customHeight="1" x14ac:dyDescent="0.25"/>
    <row r="56" spans="1:12" ht="12" customHeight="1" x14ac:dyDescent="0.45">
      <c r="F56" s="22" t="s">
        <v>37</v>
      </c>
    </row>
    <row r="57" spans="1:12" ht="12" customHeight="1" x14ac:dyDescent="0.25">
      <c r="B57" s="1" t="s">
        <v>38</v>
      </c>
    </row>
    <row r="58" spans="1:12" ht="12" customHeight="1" x14ac:dyDescent="0.25"/>
    <row r="59" spans="1:12" ht="12" customHeight="1" x14ac:dyDescent="0.25"/>
    <row r="60" spans="1:12" ht="12" customHeight="1" x14ac:dyDescent="0.25"/>
    <row r="61" spans="1:12" ht="12" customHeight="1" x14ac:dyDescent="0.25"/>
    <row r="62" spans="1:12" ht="12" customHeight="1" x14ac:dyDescent="0.25"/>
    <row r="63" spans="1:12" ht="12" customHeight="1" x14ac:dyDescent="0.25"/>
    <row r="64" spans="1:12" ht="12" customHeight="1" x14ac:dyDescent="0.25"/>
    <row r="65" ht="12" customHeight="1" x14ac:dyDescent="0.25"/>
    <row r="66" ht="12" customHeight="1" x14ac:dyDescent="0.25"/>
    <row r="67" ht="12" customHeight="1" x14ac:dyDescent="0.25"/>
    <row r="68" ht="12" customHeight="1" x14ac:dyDescent="0.25"/>
    <row r="69" ht="12" customHeight="1" x14ac:dyDescent="0.25"/>
    <row r="70" ht="12" customHeight="1" x14ac:dyDescent="0.25"/>
    <row r="71" ht="12" customHeight="1" x14ac:dyDescent="0.25"/>
    <row r="72" ht="12" customHeight="1" x14ac:dyDescent="0.25"/>
    <row r="73" ht="12" customHeight="1" x14ac:dyDescent="0.25"/>
    <row r="74" ht="12" customHeight="1" x14ac:dyDescent="0.25"/>
    <row r="75" ht="12" customHeight="1" x14ac:dyDescent="0.25"/>
    <row r="76" ht="12" customHeight="1" x14ac:dyDescent="0.25"/>
    <row r="77" ht="12" customHeight="1" x14ac:dyDescent="0.25"/>
    <row r="78" ht="12" customHeight="1" x14ac:dyDescent="0.25"/>
    <row r="79" ht="12" customHeight="1" x14ac:dyDescent="0.25"/>
    <row r="80" ht="12" customHeight="1" x14ac:dyDescent="0.25"/>
    <row r="81" ht="12" customHeight="1" x14ac:dyDescent="0.25"/>
    <row r="82" ht="12" customHeight="1" x14ac:dyDescent="0.25"/>
    <row r="83" ht="12" customHeight="1" x14ac:dyDescent="0.25"/>
    <row r="84" ht="12" customHeight="1" x14ac:dyDescent="0.25"/>
    <row r="85" ht="12" customHeight="1" x14ac:dyDescent="0.25"/>
    <row r="86" ht="12" customHeight="1" x14ac:dyDescent="0.25"/>
    <row r="87" ht="12" customHeight="1" x14ac:dyDescent="0.25"/>
    <row r="88" ht="12" customHeight="1" x14ac:dyDescent="0.25"/>
    <row r="89" ht="12" customHeight="1" x14ac:dyDescent="0.25"/>
    <row r="90" ht="12" customHeight="1" x14ac:dyDescent="0.25"/>
    <row r="91" ht="12" customHeight="1" x14ac:dyDescent="0.25"/>
    <row r="92" ht="12" customHeight="1" x14ac:dyDescent="0.25"/>
    <row r="93" ht="12" customHeight="1" x14ac:dyDescent="0.25"/>
    <row r="94" ht="12" customHeight="1" x14ac:dyDescent="0.25"/>
    <row r="95" ht="12" customHeight="1" x14ac:dyDescent="0.25"/>
    <row r="96" ht="12" customHeight="1" x14ac:dyDescent="0.25"/>
    <row r="97" ht="12" customHeight="1" x14ac:dyDescent="0.25"/>
    <row r="98" ht="12" customHeight="1" x14ac:dyDescent="0.25"/>
    <row r="99" ht="12" customHeight="1" x14ac:dyDescent="0.25"/>
    <row r="100" ht="12" customHeight="1" x14ac:dyDescent="0.25"/>
    <row r="101" ht="12" customHeight="1" x14ac:dyDescent="0.25"/>
    <row r="102" ht="12" customHeight="1" x14ac:dyDescent="0.25"/>
    <row r="103" ht="12" customHeight="1" x14ac:dyDescent="0.25"/>
    <row r="104" ht="12" customHeight="1" x14ac:dyDescent="0.25"/>
    <row r="105" ht="12" customHeight="1" x14ac:dyDescent="0.25"/>
    <row r="106" ht="12" customHeight="1" x14ac:dyDescent="0.25"/>
    <row r="107" ht="12" customHeight="1" x14ac:dyDescent="0.25"/>
    <row r="108" ht="12" customHeight="1" x14ac:dyDescent="0.25"/>
    <row r="109" ht="12" customHeight="1" x14ac:dyDescent="0.25"/>
    <row r="110" ht="12" customHeight="1" x14ac:dyDescent="0.25"/>
    <row r="111" ht="12" customHeight="1" x14ac:dyDescent="0.25"/>
    <row r="112" ht="12" customHeight="1" x14ac:dyDescent="0.25"/>
    <row r="113" ht="12" customHeight="1" x14ac:dyDescent="0.25"/>
    <row r="114" ht="12" customHeight="1" x14ac:dyDescent="0.25"/>
    <row r="115" ht="12" customHeight="1" x14ac:dyDescent="0.25"/>
    <row r="116" ht="12" customHeight="1" x14ac:dyDescent="0.25"/>
    <row r="117" ht="12" customHeight="1" x14ac:dyDescent="0.25"/>
    <row r="118" ht="12" customHeight="1" x14ac:dyDescent="0.25"/>
    <row r="119" ht="12" customHeight="1" x14ac:dyDescent="0.25"/>
    <row r="120" ht="12" customHeight="1" x14ac:dyDescent="0.25"/>
    <row r="121" ht="12" customHeight="1" x14ac:dyDescent="0.25"/>
    <row r="122" ht="12" customHeight="1" x14ac:dyDescent="0.25"/>
    <row r="123" ht="12" customHeight="1" x14ac:dyDescent="0.25"/>
    <row r="124" ht="12" customHeight="1" x14ac:dyDescent="0.25"/>
    <row r="125" ht="12" customHeight="1" x14ac:dyDescent="0.25"/>
    <row r="126" ht="12" customHeight="1" x14ac:dyDescent="0.25"/>
    <row r="127" ht="12" customHeight="1" x14ac:dyDescent="0.25"/>
    <row r="128" ht="12" customHeight="1" x14ac:dyDescent="0.25"/>
    <row r="129" ht="12" customHeight="1" x14ac:dyDescent="0.25"/>
    <row r="130" ht="12" customHeight="1" x14ac:dyDescent="0.25"/>
    <row r="131" ht="12" customHeight="1" x14ac:dyDescent="0.25"/>
    <row r="132" ht="12" customHeight="1" x14ac:dyDescent="0.25"/>
    <row r="133" ht="12" customHeight="1" x14ac:dyDescent="0.25"/>
    <row r="134" ht="12" customHeight="1" x14ac:dyDescent="0.25"/>
    <row r="135" ht="12" customHeight="1" x14ac:dyDescent="0.25"/>
    <row r="136" ht="12" customHeight="1" x14ac:dyDescent="0.25"/>
    <row r="137" ht="12" customHeight="1" x14ac:dyDescent="0.25"/>
    <row r="138" ht="12" customHeight="1" x14ac:dyDescent="0.25"/>
    <row r="139" ht="12" customHeight="1" x14ac:dyDescent="0.25"/>
    <row r="140" ht="12" customHeight="1" x14ac:dyDescent="0.25"/>
    <row r="141" ht="12" customHeight="1" x14ac:dyDescent="0.25"/>
    <row r="142" ht="12" customHeight="1" x14ac:dyDescent="0.25"/>
    <row r="143" ht="12" customHeight="1" x14ac:dyDescent="0.25"/>
    <row r="144" ht="12" customHeight="1" x14ac:dyDescent="0.25"/>
    <row r="145" ht="12" customHeight="1" x14ac:dyDescent="0.25"/>
    <row r="146" ht="12" customHeight="1" x14ac:dyDescent="0.25"/>
    <row r="147" ht="12" customHeight="1" x14ac:dyDescent="0.25"/>
    <row r="148" ht="12" customHeight="1" x14ac:dyDescent="0.25"/>
    <row r="149" ht="12" customHeight="1" x14ac:dyDescent="0.25"/>
    <row r="150" ht="12" customHeight="1" x14ac:dyDescent="0.25"/>
    <row r="151" ht="12" customHeight="1" x14ac:dyDescent="0.25"/>
    <row r="152" ht="12" customHeight="1" x14ac:dyDescent="0.25"/>
    <row r="153" ht="12" customHeight="1" x14ac:dyDescent="0.25"/>
    <row r="154" ht="12" customHeight="1" x14ac:dyDescent="0.25"/>
    <row r="155" ht="12" customHeight="1" x14ac:dyDescent="0.25"/>
    <row r="156" ht="12" customHeight="1" x14ac:dyDescent="0.25"/>
    <row r="157" ht="12" customHeight="1" x14ac:dyDescent="0.25"/>
    <row r="158" ht="12" customHeight="1" x14ac:dyDescent="0.25"/>
    <row r="159" ht="12" customHeight="1" x14ac:dyDescent="0.25"/>
    <row r="160" ht="12" customHeight="1" x14ac:dyDescent="0.25"/>
    <row r="161" ht="12" customHeight="1" x14ac:dyDescent="0.25"/>
    <row r="162" ht="12" customHeight="1" x14ac:dyDescent="0.25"/>
    <row r="163" ht="12" customHeight="1" x14ac:dyDescent="0.25"/>
    <row r="164" ht="12" customHeight="1" x14ac:dyDescent="0.25"/>
    <row r="165" ht="12" customHeight="1" x14ac:dyDescent="0.25"/>
    <row r="166" ht="12" customHeight="1" x14ac:dyDescent="0.25"/>
    <row r="167" ht="12" customHeight="1" x14ac:dyDescent="0.25"/>
    <row r="168" ht="12" customHeight="1" x14ac:dyDescent="0.25"/>
    <row r="169" ht="12" customHeight="1" x14ac:dyDescent="0.25"/>
    <row r="170" ht="12" customHeight="1" x14ac:dyDescent="0.25"/>
    <row r="171" ht="12" customHeight="1" x14ac:dyDescent="0.25"/>
    <row r="172" ht="12" customHeight="1" x14ac:dyDescent="0.25"/>
    <row r="173" ht="12" customHeight="1" x14ac:dyDescent="0.25"/>
    <row r="174" ht="12" customHeight="1" x14ac:dyDescent="0.25"/>
    <row r="175" ht="12" customHeight="1" x14ac:dyDescent="0.25"/>
    <row r="176" ht="12" customHeight="1" x14ac:dyDescent="0.25"/>
    <row r="177" ht="12" customHeight="1" x14ac:dyDescent="0.25"/>
    <row r="178" ht="12" customHeight="1" x14ac:dyDescent="0.25"/>
    <row r="179" ht="12" customHeight="1" x14ac:dyDescent="0.25"/>
    <row r="180" ht="12" customHeight="1" x14ac:dyDescent="0.25"/>
    <row r="181" ht="12" customHeight="1" x14ac:dyDescent="0.25"/>
    <row r="182" ht="12" customHeight="1" x14ac:dyDescent="0.25"/>
    <row r="183" ht="12" customHeight="1" x14ac:dyDescent="0.25"/>
    <row r="184" ht="12" customHeight="1" x14ac:dyDescent="0.25"/>
    <row r="185" ht="12" customHeight="1" x14ac:dyDescent="0.25"/>
    <row r="186" ht="12" customHeight="1" x14ac:dyDescent="0.25"/>
    <row r="187" ht="12" customHeight="1" x14ac:dyDescent="0.25"/>
    <row r="188" ht="12" customHeight="1" x14ac:dyDescent="0.25"/>
    <row r="189" ht="12" customHeight="1" x14ac:dyDescent="0.25"/>
    <row r="190" ht="12" customHeight="1" x14ac:dyDescent="0.25"/>
    <row r="191" ht="12" customHeight="1" x14ac:dyDescent="0.25"/>
    <row r="192" ht="12" customHeight="1" x14ac:dyDescent="0.25"/>
    <row r="193" ht="12" customHeight="1" x14ac:dyDescent="0.25"/>
    <row r="194" ht="12" customHeight="1" x14ac:dyDescent="0.25"/>
    <row r="195" ht="12" customHeight="1" x14ac:dyDescent="0.25"/>
    <row r="196" ht="12" customHeight="1" x14ac:dyDescent="0.25"/>
    <row r="197" ht="12" customHeight="1" x14ac:dyDescent="0.25"/>
    <row r="198" ht="12" customHeight="1" x14ac:dyDescent="0.25"/>
    <row r="199" ht="12" customHeight="1" x14ac:dyDescent="0.25"/>
    <row r="200" ht="12" customHeight="1" x14ac:dyDescent="0.25"/>
    <row r="201" ht="12" customHeight="1" x14ac:dyDescent="0.25"/>
    <row r="202" ht="12" customHeight="1" x14ac:dyDescent="0.25"/>
    <row r="203" ht="12" customHeight="1" x14ac:dyDescent="0.25"/>
    <row r="204" ht="12" customHeight="1" x14ac:dyDescent="0.25"/>
    <row r="205" ht="12" customHeight="1" x14ac:dyDescent="0.25"/>
    <row r="206" ht="12" customHeight="1" x14ac:dyDescent="0.25"/>
    <row r="207" ht="12" customHeight="1" x14ac:dyDescent="0.25"/>
    <row r="208" ht="12" customHeight="1" x14ac:dyDescent="0.25"/>
    <row r="209" ht="12" customHeight="1" x14ac:dyDescent="0.25"/>
    <row r="210" ht="12" customHeight="1" x14ac:dyDescent="0.25"/>
    <row r="211" ht="12" customHeight="1" x14ac:dyDescent="0.25"/>
    <row r="212" ht="12" customHeight="1" x14ac:dyDescent="0.25"/>
    <row r="213" ht="12" customHeight="1" x14ac:dyDescent="0.25"/>
    <row r="214" ht="12" customHeight="1" x14ac:dyDescent="0.25"/>
    <row r="215" ht="12" customHeight="1" x14ac:dyDescent="0.25"/>
    <row r="216" ht="12" customHeight="1" x14ac:dyDescent="0.25"/>
    <row r="217" ht="12" customHeight="1" x14ac:dyDescent="0.25"/>
    <row r="218" ht="12" customHeight="1" x14ac:dyDescent="0.25"/>
    <row r="219" ht="12" customHeight="1" x14ac:dyDescent="0.25"/>
    <row r="220" ht="12" customHeight="1" x14ac:dyDescent="0.25"/>
    <row r="221" ht="12" customHeight="1" x14ac:dyDescent="0.25"/>
    <row r="222" ht="12" customHeight="1" x14ac:dyDescent="0.25"/>
    <row r="223" ht="12" customHeight="1" x14ac:dyDescent="0.25"/>
    <row r="224" ht="12" customHeight="1" x14ac:dyDescent="0.25"/>
    <row r="225" ht="12" customHeight="1" x14ac:dyDescent="0.25"/>
    <row r="226" ht="12" customHeight="1" x14ac:dyDescent="0.25"/>
    <row r="227" ht="12" customHeight="1" x14ac:dyDescent="0.25"/>
    <row r="228" ht="12" customHeight="1" x14ac:dyDescent="0.25"/>
    <row r="229" ht="12" customHeight="1" x14ac:dyDescent="0.25"/>
    <row r="230" ht="12" customHeight="1" x14ac:dyDescent="0.25"/>
    <row r="231" ht="12" customHeight="1" x14ac:dyDescent="0.25"/>
    <row r="232" ht="12" customHeight="1" x14ac:dyDescent="0.25"/>
    <row r="233" ht="12" customHeight="1" x14ac:dyDescent="0.25"/>
    <row r="234" ht="12" customHeight="1" x14ac:dyDescent="0.25"/>
    <row r="235" ht="12" customHeight="1" x14ac:dyDescent="0.25"/>
    <row r="236" ht="12" customHeight="1" x14ac:dyDescent="0.25"/>
    <row r="237" ht="12" customHeight="1" x14ac:dyDescent="0.25"/>
    <row r="238" ht="12" customHeight="1" x14ac:dyDescent="0.25"/>
    <row r="239" ht="12" customHeight="1" x14ac:dyDescent="0.25"/>
    <row r="240" ht="12" customHeight="1" x14ac:dyDescent="0.25"/>
    <row r="241" ht="12" customHeight="1" x14ac:dyDescent="0.25"/>
    <row r="242" ht="12" customHeight="1" x14ac:dyDescent="0.25"/>
    <row r="243" ht="12" customHeight="1" x14ac:dyDescent="0.25"/>
    <row r="244" ht="12" customHeight="1" x14ac:dyDescent="0.25"/>
    <row r="245" ht="12" customHeight="1" x14ac:dyDescent="0.25"/>
    <row r="246" ht="12" customHeight="1" x14ac:dyDescent="0.25"/>
    <row r="247" ht="12" customHeight="1" x14ac:dyDescent="0.25"/>
    <row r="248" ht="12" customHeight="1" x14ac:dyDescent="0.25"/>
    <row r="249" ht="12" customHeight="1" x14ac:dyDescent="0.25"/>
    <row r="250" ht="12" customHeight="1" x14ac:dyDescent="0.25"/>
    <row r="251" ht="12" customHeight="1" x14ac:dyDescent="0.25"/>
    <row r="252" ht="12" customHeight="1" x14ac:dyDescent="0.25"/>
    <row r="253" ht="12" customHeight="1" x14ac:dyDescent="0.25"/>
    <row r="254" ht="12" customHeight="1" x14ac:dyDescent="0.25"/>
    <row r="255" ht="12" customHeight="1" x14ac:dyDescent="0.25"/>
    <row r="256" ht="12" customHeight="1" x14ac:dyDescent="0.25"/>
    <row r="257" ht="12" customHeight="1" x14ac:dyDescent="0.25"/>
    <row r="258" ht="12" customHeight="1" x14ac:dyDescent="0.25"/>
    <row r="259" ht="12" customHeight="1" x14ac:dyDescent="0.25"/>
    <row r="260" ht="12" customHeight="1" x14ac:dyDescent="0.25"/>
    <row r="261" ht="12" customHeight="1" x14ac:dyDescent="0.25"/>
    <row r="262" ht="12" customHeight="1" x14ac:dyDescent="0.25"/>
    <row r="263" ht="12" customHeight="1" x14ac:dyDescent="0.25"/>
    <row r="264" ht="12" customHeight="1" x14ac:dyDescent="0.25"/>
    <row r="265" ht="12" customHeight="1" x14ac:dyDescent="0.25"/>
    <row r="266" ht="12" customHeight="1" x14ac:dyDescent="0.25"/>
    <row r="267" ht="12" customHeight="1" x14ac:dyDescent="0.25"/>
    <row r="268" ht="12" customHeight="1" x14ac:dyDescent="0.25"/>
    <row r="269" ht="12" customHeight="1" x14ac:dyDescent="0.25"/>
    <row r="270" ht="12" customHeight="1" x14ac:dyDescent="0.25"/>
    <row r="271" ht="12" customHeight="1" x14ac:dyDescent="0.25"/>
    <row r="272" ht="12" customHeight="1" x14ac:dyDescent="0.25"/>
    <row r="273" ht="12" customHeight="1" x14ac:dyDescent="0.25"/>
    <row r="274" ht="12" customHeight="1" x14ac:dyDescent="0.25"/>
    <row r="275" ht="12" customHeight="1" x14ac:dyDescent="0.25"/>
    <row r="276" ht="12" customHeight="1" x14ac:dyDescent="0.25"/>
    <row r="277" ht="12" customHeight="1" x14ac:dyDescent="0.25"/>
    <row r="278" ht="12" customHeight="1" x14ac:dyDescent="0.25"/>
    <row r="279" ht="12" customHeight="1" x14ac:dyDescent="0.25"/>
    <row r="280" ht="12" customHeight="1" x14ac:dyDescent="0.25"/>
    <row r="281" ht="12" customHeight="1" x14ac:dyDescent="0.25"/>
    <row r="282" ht="12" customHeight="1" x14ac:dyDescent="0.25"/>
    <row r="283" ht="12" customHeight="1" x14ac:dyDescent="0.25"/>
    <row r="284" ht="12" customHeight="1" x14ac:dyDescent="0.25"/>
    <row r="285" ht="12" customHeight="1" x14ac:dyDescent="0.25"/>
    <row r="286" ht="12" customHeight="1" x14ac:dyDescent="0.25"/>
    <row r="287" ht="12" customHeight="1" x14ac:dyDescent="0.25"/>
    <row r="288" ht="12" customHeight="1" x14ac:dyDescent="0.25"/>
    <row r="289" ht="12" customHeight="1" x14ac:dyDescent="0.25"/>
    <row r="290" ht="12" customHeight="1" x14ac:dyDescent="0.25"/>
    <row r="291" ht="12" customHeight="1" x14ac:dyDescent="0.25"/>
    <row r="292" ht="12" customHeight="1" x14ac:dyDescent="0.25"/>
    <row r="293" ht="12" customHeight="1" x14ac:dyDescent="0.25"/>
    <row r="294" ht="12" customHeight="1" x14ac:dyDescent="0.25"/>
    <row r="295" ht="12" customHeight="1" x14ac:dyDescent="0.25"/>
    <row r="296" ht="12" customHeight="1" x14ac:dyDescent="0.25"/>
    <row r="297" ht="12" customHeight="1" x14ac:dyDescent="0.25"/>
    <row r="298" ht="12" customHeight="1" x14ac:dyDescent="0.25"/>
    <row r="299" ht="12" customHeight="1" x14ac:dyDescent="0.25"/>
    <row r="300" ht="12" customHeight="1" x14ac:dyDescent="0.25"/>
    <row r="301" ht="12" customHeight="1" x14ac:dyDescent="0.25"/>
    <row r="302" ht="12" customHeight="1" x14ac:dyDescent="0.25"/>
    <row r="303" ht="12" customHeight="1" x14ac:dyDescent="0.25"/>
    <row r="304" ht="12" customHeight="1" x14ac:dyDescent="0.25"/>
    <row r="305" ht="12" customHeight="1" x14ac:dyDescent="0.25"/>
    <row r="306" ht="12" customHeight="1" x14ac:dyDescent="0.25"/>
    <row r="307" ht="12" customHeight="1" x14ac:dyDescent="0.25"/>
    <row r="308" ht="12" customHeight="1" x14ac:dyDescent="0.25"/>
    <row r="309" ht="12" customHeight="1" x14ac:dyDescent="0.25"/>
    <row r="310" ht="12" customHeight="1" x14ac:dyDescent="0.25"/>
    <row r="311" ht="12" customHeight="1" x14ac:dyDescent="0.25"/>
    <row r="312" ht="12" customHeight="1" x14ac:dyDescent="0.25"/>
    <row r="313" ht="12" customHeight="1" x14ac:dyDescent="0.25"/>
    <row r="314" ht="12" customHeight="1" x14ac:dyDescent="0.25"/>
    <row r="315" ht="12" customHeight="1" x14ac:dyDescent="0.25"/>
    <row r="316" ht="12" customHeight="1" x14ac:dyDescent="0.25"/>
    <row r="317" ht="12" customHeight="1" x14ac:dyDescent="0.25"/>
    <row r="318" ht="12" customHeight="1" x14ac:dyDescent="0.25"/>
    <row r="319" ht="12" customHeight="1" x14ac:dyDescent="0.25"/>
    <row r="320" ht="12" customHeight="1" x14ac:dyDescent="0.25"/>
    <row r="321" ht="12" customHeight="1" x14ac:dyDescent="0.25"/>
    <row r="322" ht="12" customHeight="1" x14ac:dyDescent="0.25"/>
    <row r="323" ht="12" customHeight="1" x14ac:dyDescent="0.25"/>
    <row r="324" ht="12" customHeight="1" x14ac:dyDescent="0.25"/>
    <row r="325" ht="12" customHeight="1" x14ac:dyDescent="0.25"/>
    <row r="326" ht="12" customHeight="1" x14ac:dyDescent="0.25"/>
    <row r="327" ht="12" customHeight="1" x14ac:dyDescent="0.25"/>
    <row r="328" ht="12" customHeight="1" x14ac:dyDescent="0.25"/>
    <row r="329" ht="12" customHeight="1" x14ac:dyDescent="0.25"/>
    <row r="330" ht="12" customHeight="1" x14ac:dyDescent="0.25"/>
    <row r="331" ht="12" customHeight="1" x14ac:dyDescent="0.25"/>
    <row r="332" ht="12" customHeight="1" x14ac:dyDescent="0.25"/>
    <row r="333" ht="12" customHeight="1" x14ac:dyDescent="0.25"/>
    <row r="334" ht="12" customHeight="1" x14ac:dyDescent="0.25"/>
    <row r="335" ht="12" customHeight="1" x14ac:dyDescent="0.25"/>
    <row r="336" ht="12" customHeight="1" x14ac:dyDescent="0.25"/>
    <row r="337" ht="12" customHeight="1" x14ac:dyDescent="0.25"/>
    <row r="338" ht="12" customHeight="1" x14ac:dyDescent="0.25"/>
    <row r="339" ht="12" customHeight="1" x14ac:dyDescent="0.25"/>
    <row r="340" ht="12" customHeight="1" x14ac:dyDescent="0.25"/>
    <row r="341" ht="12" customHeight="1" x14ac:dyDescent="0.25"/>
    <row r="342" ht="12" customHeight="1" x14ac:dyDescent="0.25"/>
    <row r="343" ht="12" customHeight="1" x14ac:dyDescent="0.25"/>
    <row r="344" ht="12" customHeight="1" x14ac:dyDescent="0.25"/>
    <row r="345" ht="12" customHeight="1" x14ac:dyDescent="0.25"/>
    <row r="346" ht="12" customHeight="1" x14ac:dyDescent="0.25"/>
    <row r="347" ht="12" customHeight="1" x14ac:dyDescent="0.25"/>
    <row r="348" ht="12" customHeight="1" x14ac:dyDescent="0.25"/>
    <row r="349" ht="12" customHeight="1" x14ac:dyDescent="0.25"/>
    <row r="350" ht="12" customHeight="1" x14ac:dyDescent="0.25"/>
    <row r="351" ht="12" customHeight="1" x14ac:dyDescent="0.25"/>
    <row r="352" ht="12" customHeight="1" x14ac:dyDescent="0.25"/>
    <row r="353" ht="12" customHeight="1" x14ac:dyDescent="0.25"/>
    <row r="354" ht="12" customHeight="1" x14ac:dyDescent="0.25"/>
    <row r="355" ht="12" customHeight="1" x14ac:dyDescent="0.25"/>
    <row r="356" ht="12" customHeight="1" x14ac:dyDescent="0.25"/>
    <row r="357" ht="12" customHeight="1" x14ac:dyDescent="0.25"/>
    <row r="358" ht="12" customHeight="1" x14ac:dyDescent="0.25"/>
    <row r="359" ht="12" customHeight="1" x14ac:dyDescent="0.25"/>
    <row r="360" ht="12" customHeight="1" x14ac:dyDescent="0.25"/>
    <row r="361" ht="12" customHeight="1" x14ac:dyDescent="0.25"/>
    <row r="362" ht="12" customHeight="1" x14ac:dyDescent="0.25"/>
    <row r="363" ht="12" customHeight="1" x14ac:dyDescent="0.25"/>
    <row r="364" ht="12" customHeight="1" x14ac:dyDescent="0.25"/>
    <row r="365" ht="12" customHeight="1" x14ac:dyDescent="0.25"/>
    <row r="366" ht="12" customHeight="1" x14ac:dyDescent="0.25"/>
    <row r="367" ht="12" customHeight="1" x14ac:dyDescent="0.25"/>
    <row r="368" ht="12" customHeight="1" x14ac:dyDescent="0.25"/>
    <row r="369" ht="12" customHeight="1" x14ac:dyDescent="0.25"/>
    <row r="370" ht="12" customHeight="1" x14ac:dyDescent="0.25"/>
    <row r="371" ht="12" customHeight="1" x14ac:dyDescent="0.25"/>
    <row r="372" ht="12" customHeight="1" x14ac:dyDescent="0.25"/>
    <row r="373" ht="12" customHeight="1" x14ac:dyDescent="0.25"/>
    <row r="374" ht="12" customHeight="1" x14ac:dyDescent="0.25"/>
    <row r="375" ht="12" customHeight="1" x14ac:dyDescent="0.25"/>
    <row r="376" ht="12" customHeight="1" x14ac:dyDescent="0.25"/>
    <row r="377" ht="12" customHeight="1" x14ac:dyDescent="0.25"/>
    <row r="378" ht="12" customHeight="1" x14ac:dyDescent="0.25"/>
    <row r="379" ht="12" customHeight="1" x14ac:dyDescent="0.25"/>
    <row r="380" ht="12" customHeight="1" x14ac:dyDescent="0.25"/>
    <row r="381" ht="12" customHeight="1" x14ac:dyDescent="0.25"/>
    <row r="382" ht="12" customHeight="1" x14ac:dyDescent="0.25"/>
    <row r="383" ht="12" customHeight="1" x14ac:dyDescent="0.25"/>
    <row r="384" ht="12" customHeight="1" x14ac:dyDescent="0.25"/>
    <row r="385" ht="12" customHeight="1" x14ac:dyDescent="0.25"/>
    <row r="386" ht="12" customHeight="1" x14ac:dyDescent="0.25"/>
    <row r="387" ht="12" customHeight="1" x14ac:dyDescent="0.25"/>
    <row r="388" ht="12" customHeight="1" x14ac:dyDescent="0.25"/>
    <row r="389" ht="12" customHeight="1" x14ac:dyDescent="0.25"/>
    <row r="390" ht="12" customHeight="1" x14ac:dyDescent="0.25"/>
    <row r="391" ht="12" customHeight="1" x14ac:dyDescent="0.25"/>
    <row r="392" ht="12" customHeight="1" x14ac:dyDescent="0.25"/>
    <row r="393" ht="12" customHeight="1" x14ac:dyDescent="0.25"/>
    <row r="394" ht="12" customHeight="1" x14ac:dyDescent="0.25"/>
    <row r="395" ht="12" customHeight="1" x14ac:dyDescent="0.25"/>
    <row r="396" ht="12" customHeight="1" x14ac:dyDescent="0.25"/>
    <row r="397" ht="12" customHeight="1" x14ac:dyDescent="0.25"/>
    <row r="398" ht="12" customHeight="1" x14ac:dyDescent="0.25"/>
    <row r="399" ht="12" customHeight="1" x14ac:dyDescent="0.25"/>
    <row r="400" ht="12" customHeight="1" x14ac:dyDescent="0.25"/>
    <row r="401" ht="12" customHeight="1" x14ac:dyDescent="0.25"/>
    <row r="402" ht="12" customHeight="1" x14ac:dyDescent="0.25"/>
    <row r="403" ht="12" customHeight="1" x14ac:dyDescent="0.25"/>
    <row r="404" ht="12" customHeight="1" x14ac:dyDescent="0.25"/>
    <row r="405" ht="12" customHeight="1" x14ac:dyDescent="0.25"/>
    <row r="406" ht="12" customHeight="1" x14ac:dyDescent="0.25"/>
    <row r="407" ht="12" customHeight="1" x14ac:dyDescent="0.25"/>
    <row r="408" ht="12" customHeight="1" x14ac:dyDescent="0.25"/>
    <row r="409" ht="12" customHeight="1" x14ac:dyDescent="0.25"/>
    <row r="410" ht="12" customHeight="1" x14ac:dyDescent="0.25"/>
    <row r="411" ht="12" customHeight="1" x14ac:dyDescent="0.25"/>
    <row r="412" ht="12" customHeight="1" x14ac:dyDescent="0.25"/>
    <row r="413" ht="12" customHeight="1" x14ac:dyDescent="0.25"/>
    <row r="414" ht="12" customHeight="1" x14ac:dyDescent="0.25"/>
    <row r="415" ht="12" customHeight="1" x14ac:dyDescent="0.25"/>
    <row r="416" ht="12" customHeight="1" x14ac:dyDescent="0.25"/>
    <row r="417" ht="12" customHeight="1" x14ac:dyDescent="0.25"/>
    <row r="418" ht="12" customHeight="1" x14ac:dyDescent="0.25"/>
    <row r="419" ht="12" customHeight="1" x14ac:dyDescent="0.25"/>
    <row r="420" ht="12" customHeight="1" x14ac:dyDescent="0.25"/>
    <row r="421" ht="12" customHeight="1" x14ac:dyDescent="0.25"/>
    <row r="422" ht="12" customHeight="1" x14ac:dyDescent="0.25"/>
    <row r="423" ht="12" customHeight="1" x14ac:dyDescent="0.25"/>
    <row r="424" ht="12" customHeight="1" x14ac:dyDescent="0.25"/>
    <row r="425" ht="12" customHeight="1" x14ac:dyDescent="0.25"/>
    <row r="426" ht="12" customHeight="1" x14ac:dyDescent="0.25"/>
    <row r="427" ht="12" customHeight="1" x14ac:dyDescent="0.25"/>
    <row r="428" ht="12" customHeight="1" x14ac:dyDescent="0.25"/>
    <row r="429" ht="12" customHeight="1" x14ac:dyDescent="0.25"/>
    <row r="430" ht="12" customHeight="1" x14ac:dyDescent="0.25"/>
    <row r="431" ht="12" customHeight="1" x14ac:dyDescent="0.25"/>
    <row r="432" ht="12" customHeight="1" x14ac:dyDescent="0.25"/>
    <row r="433" ht="12" customHeight="1" x14ac:dyDescent="0.25"/>
    <row r="434" ht="12" customHeight="1" x14ac:dyDescent="0.25"/>
    <row r="435" ht="12" customHeight="1" x14ac:dyDescent="0.25"/>
    <row r="436" ht="12" customHeight="1" x14ac:dyDescent="0.25"/>
    <row r="437" ht="12" customHeight="1" x14ac:dyDescent="0.25"/>
    <row r="438" ht="12" customHeight="1" x14ac:dyDescent="0.25"/>
    <row r="439" ht="12" customHeight="1" x14ac:dyDescent="0.25"/>
    <row r="440" ht="12" customHeight="1" x14ac:dyDescent="0.25"/>
    <row r="441" ht="12" customHeight="1" x14ac:dyDescent="0.25"/>
    <row r="442" ht="12" customHeight="1" x14ac:dyDescent="0.25"/>
    <row r="443" ht="12" customHeight="1" x14ac:dyDescent="0.25"/>
    <row r="444" ht="12" customHeight="1" x14ac:dyDescent="0.25"/>
    <row r="445" ht="12" customHeight="1" x14ac:dyDescent="0.25"/>
    <row r="446" ht="12" customHeight="1" x14ac:dyDescent="0.25"/>
    <row r="447" ht="12" customHeight="1" x14ac:dyDescent="0.25"/>
    <row r="448" ht="12" customHeight="1" x14ac:dyDescent="0.25"/>
    <row r="449" ht="12" customHeight="1" x14ac:dyDescent="0.25"/>
    <row r="450" ht="12" customHeight="1" x14ac:dyDescent="0.25"/>
    <row r="451" ht="12" customHeight="1" x14ac:dyDescent="0.25"/>
    <row r="452" ht="12" customHeight="1" x14ac:dyDescent="0.25"/>
    <row r="453" ht="12" customHeight="1" x14ac:dyDescent="0.25"/>
    <row r="454" ht="12" customHeight="1" x14ac:dyDescent="0.25"/>
    <row r="455" ht="12" customHeight="1" x14ac:dyDescent="0.25"/>
    <row r="456" ht="12" customHeight="1" x14ac:dyDescent="0.25"/>
    <row r="457" ht="12" customHeight="1" x14ac:dyDescent="0.25"/>
    <row r="458" ht="12" customHeight="1" x14ac:dyDescent="0.25"/>
    <row r="459" ht="12" customHeight="1" x14ac:dyDescent="0.25"/>
    <row r="460" ht="12" customHeight="1" x14ac:dyDescent="0.25"/>
    <row r="461" ht="12" customHeight="1" x14ac:dyDescent="0.25"/>
    <row r="462" ht="12" customHeight="1" x14ac:dyDescent="0.25"/>
    <row r="463" ht="12" customHeight="1" x14ac:dyDescent="0.25"/>
    <row r="464" ht="12" customHeight="1" x14ac:dyDescent="0.25"/>
    <row r="465" ht="12" customHeight="1" x14ac:dyDescent="0.25"/>
    <row r="466" ht="12" customHeight="1" x14ac:dyDescent="0.25"/>
    <row r="467" ht="12" customHeight="1" x14ac:dyDescent="0.25"/>
    <row r="468" ht="12" customHeight="1" x14ac:dyDescent="0.25"/>
    <row r="469" ht="12" customHeight="1" x14ac:dyDescent="0.25"/>
    <row r="470" ht="12" customHeight="1" x14ac:dyDescent="0.25"/>
    <row r="471" ht="12" customHeight="1" x14ac:dyDescent="0.25"/>
    <row r="472" ht="12" customHeight="1" x14ac:dyDescent="0.25"/>
    <row r="473" ht="12" customHeight="1" x14ac:dyDescent="0.25"/>
    <row r="474" ht="12" customHeight="1" x14ac:dyDescent="0.25"/>
    <row r="475" ht="12" customHeight="1" x14ac:dyDescent="0.25"/>
    <row r="476" ht="12" customHeight="1" x14ac:dyDescent="0.25"/>
    <row r="477" ht="12" customHeight="1" x14ac:dyDescent="0.25"/>
    <row r="478" ht="12" customHeight="1" x14ac:dyDescent="0.25"/>
    <row r="479" ht="12" customHeight="1" x14ac:dyDescent="0.25"/>
    <row r="480" ht="12" customHeight="1" x14ac:dyDescent="0.25"/>
    <row r="481" ht="12" customHeight="1" x14ac:dyDescent="0.25"/>
    <row r="482" ht="12" customHeight="1" x14ac:dyDescent="0.25"/>
    <row r="483" ht="12" customHeight="1" x14ac:dyDescent="0.25"/>
    <row r="484" ht="12" customHeight="1" x14ac:dyDescent="0.25"/>
    <row r="485" ht="12" customHeight="1" x14ac:dyDescent="0.25"/>
    <row r="486" ht="12" customHeight="1" x14ac:dyDescent="0.25"/>
    <row r="487" ht="12" customHeight="1" x14ac:dyDescent="0.25"/>
    <row r="488" ht="12" customHeight="1" x14ac:dyDescent="0.25"/>
    <row r="489" ht="12" customHeight="1" x14ac:dyDescent="0.25"/>
    <row r="490" ht="12" customHeight="1" x14ac:dyDescent="0.25"/>
    <row r="491" ht="12" customHeight="1" x14ac:dyDescent="0.25"/>
    <row r="492" ht="12" customHeight="1" x14ac:dyDescent="0.25"/>
    <row r="493" ht="12" customHeight="1" x14ac:dyDescent="0.25"/>
    <row r="494" ht="12" customHeight="1" x14ac:dyDescent="0.25"/>
    <row r="495" ht="12" customHeight="1" x14ac:dyDescent="0.25"/>
    <row r="496" ht="12" customHeight="1" x14ac:dyDescent="0.25"/>
    <row r="497" ht="12" customHeight="1" x14ac:dyDescent="0.25"/>
    <row r="498" ht="12" customHeight="1" x14ac:dyDescent="0.25"/>
    <row r="499" ht="12" customHeight="1" x14ac:dyDescent="0.25"/>
    <row r="500" ht="12" customHeight="1" x14ac:dyDescent="0.25"/>
    <row r="501" ht="12" customHeight="1" x14ac:dyDescent="0.25"/>
    <row r="502" ht="12" customHeight="1" x14ac:dyDescent="0.25"/>
    <row r="503" ht="12" customHeight="1" x14ac:dyDescent="0.25"/>
    <row r="504" ht="12" customHeight="1" x14ac:dyDescent="0.25"/>
    <row r="505" ht="12" customHeight="1" x14ac:dyDescent="0.25"/>
    <row r="506" ht="12" customHeight="1" x14ac:dyDescent="0.25"/>
    <row r="507" ht="12" customHeight="1" x14ac:dyDescent="0.25"/>
    <row r="508" ht="12" customHeight="1" x14ac:dyDescent="0.25"/>
    <row r="509" ht="12" customHeight="1" x14ac:dyDescent="0.25"/>
    <row r="510" ht="12" customHeight="1" x14ac:dyDescent="0.25"/>
    <row r="511" ht="12" customHeight="1" x14ac:dyDescent="0.25"/>
    <row r="512" ht="12" customHeight="1" x14ac:dyDescent="0.25"/>
    <row r="513" ht="12" customHeight="1" x14ac:dyDescent="0.25"/>
    <row r="514" ht="12" customHeight="1" x14ac:dyDescent="0.25"/>
    <row r="515" ht="12" customHeight="1" x14ac:dyDescent="0.25"/>
    <row r="516" ht="12" customHeight="1" x14ac:dyDescent="0.25"/>
    <row r="517" ht="12" customHeight="1" x14ac:dyDescent="0.25"/>
    <row r="518" ht="12" customHeight="1" x14ac:dyDescent="0.25"/>
    <row r="519" ht="12" customHeight="1" x14ac:dyDescent="0.25"/>
    <row r="520" ht="12" customHeight="1" x14ac:dyDescent="0.25"/>
    <row r="521" ht="12" customHeight="1" x14ac:dyDescent="0.25"/>
    <row r="522" ht="12" customHeight="1" x14ac:dyDescent="0.25"/>
    <row r="523" ht="12" customHeight="1" x14ac:dyDescent="0.25"/>
    <row r="524" ht="12" customHeight="1" x14ac:dyDescent="0.25"/>
    <row r="525" ht="12" customHeight="1" x14ac:dyDescent="0.25"/>
    <row r="526" ht="12" customHeight="1" x14ac:dyDescent="0.25"/>
    <row r="527" ht="12" customHeight="1" x14ac:dyDescent="0.25"/>
    <row r="528" ht="12" customHeight="1" x14ac:dyDescent="0.25"/>
    <row r="529" ht="12" customHeight="1" x14ac:dyDescent="0.25"/>
    <row r="530" ht="12" customHeight="1" x14ac:dyDescent="0.25"/>
    <row r="531" ht="12" customHeight="1" x14ac:dyDescent="0.25"/>
    <row r="532" ht="12" customHeight="1" x14ac:dyDescent="0.25"/>
    <row r="533" ht="12" customHeight="1" x14ac:dyDescent="0.25"/>
    <row r="534" ht="12" customHeight="1" x14ac:dyDescent="0.25"/>
    <row r="535" ht="12" customHeight="1" x14ac:dyDescent="0.25"/>
    <row r="536" ht="12" customHeight="1" x14ac:dyDescent="0.25"/>
    <row r="537" ht="12" customHeight="1" x14ac:dyDescent="0.25"/>
    <row r="538" ht="12" customHeight="1" x14ac:dyDescent="0.25"/>
    <row r="539" ht="12" customHeight="1" x14ac:dyDescent="0.25"/>
    <row r="540" ht="12" customHeight="1" x14ac:dyDescent="0.25"/>
    <row r="541" ht="12" customHeight="1" x14ac:dyDescent="0.25"/>
    <row r="542" ht="12" customHeight="1" x14ac:dyDescent="0.25"/>
    <row r="543" ht="12" customHeight="1" x14ac:dyDescent="0.25"/>
    <row r="544" ht="12" customHeight="1" x14ac:dyDescent="0.25"/>
    <row r="545" ht="12" customHeight="1" x14ac:dyDescent="0.25"/>
    <row r="546" ht="12" customHeight="1" x14ac:dyDescent="0.25"/>
    <row r="547" ht="12" customHeight="1" x14ac:dyDescent="0.25"/>
    <row r="548" ht="12" customHeight="1" x14ac:dyDescent="0.25"/>
    <row r="549" ht="12" customHeight="1" x14ac:dyDescent="0.25"/>
    <row r="550" ht="12" customHeight="1" x14ac:dyDescent="0.25"/>
    <row r="551" ht="12" customHeight="1" x14ac:dyDescent="0.25"/>
    <row r="552" ht="12" customHeight="1" x14ac:dyDescent="0.25"/>
    <row r="553" ht="12" customHeight="1" x14ac:dyDescent="0.25"/>
    <row r="554" ht="12" customHeight="1" x14ac:dyDescent="0.25"/>
    <row r="555" ht="12" customHeight="1" x14ac:dyDescent="0.25"/>
    <row r="556" ht="12" customHeight="1" x14ac:dyDescent="0.25"/>
    <row r="557" ht="12" customHeight="1" x14ac:dyDescent="0.25"/>
    <row r="558" ht="12" customHeight="1" x14ac:dyDescent="0.25"/>
    <row r="559" ht="12" customHeight="1" x14ac:dyDescent="0.25"/>
    <row r="560" ht="12" customHeight="1" x14ac:dyDescent="0.25"/>
    <row r="561" ht="12" customHeight="1" x14ac:dyDescent="0.25"/>
    <row r="562" ht="12" customHeight="1" x14ac:dyDescent="0.25"/>
    <row r="563" ht="12" customHeight="1" x14ac:dyDescent="0.25"/>
    <row r="564" ht="12" customHeight="1" x14ac:dyDescent="0.25"/>
    <row r="565" ht="12" customHeight="1" x14ac:dyDescent="0.25"/>
    <row r="566" ht="12" customHeight="1" x14ac:dyDescent="0.25"/>
    <row r="567" ht="12" customHeight="1" x14ac:dyDescent="0.25"/>
    <row r="568" ht="12" customHeight="1" x14ac:dyDescent="0.25"/>
    <row r="569" ht="12" customHeight="1" x14ac:dyDescent="0.25"/>
    <row r="570" ht="12" customHeight="1" x14ac:dyDescent="0.25"/>
    <row r="571" ht="12" customHeight="1" x14ac:dyDescent="0.25"/>
    <row r="572" ht="12" customHeight="1" x14ac:dyDescent="0.25"/>
    <row r="573" ht="12" customHeight="1" x14ac:dyDescent="0.25"/>
    <row r="574" ht="12" customHeight="1" x14ac:dyDescent="0.25"/>
    <row r="575" ht="12" customHeight="1" x14ac:dyDescent="0.25"/>
    <row r="576" ht="12" customHeight="1" x14ac:dyDescent="0.25"/>
    <row r="577" ht="12" customHeight="1" x14ac:dyDescent="0.25"/>
    <row r="578" ht="12" customHeight="1" x14ac:dyDescent="0.25"/>
    <row r="579" ht="12" customHeight="1" x14ac:dyDescent="0.25"/>
    <row r="580" ht="12" customHeight="1" x14ac:dyDescent="0.25"/>
    <row r="581" ht="12" customHeight="1" x14ac:dyDescent="0.25"/>
    <row r="582" ht="12" customHeight="1" x14ac:dyDescent="0.25"/>
    <row r="583" ht="12" customHeight="1" x14ac:dyDescent="0.25"/>
    <row r="584" ht="12" customHeight="1" x14ac:dyDescent="0.25"/>
    <row r="585" ht="12" customHeight="1" x14ac:dyDescent="0.25"/>
    <row r="586" ht="12" customHeight="1" x14ac:dyDescent="0.25"/>
    <row r="587" ht="12" customHeight="1" x14ac:dyDescent="0.25"/>
    <row r="588" ht="12" customHeight="1" x14ac:dyDescent="0.25"/>
    <row r="589" ht="12" customHeight="1" x14ac:dyDescent="0.25"/>
    <row r="590" ht="12" customHeight="1" x14ac:dyDescent="0.25"/>
    <row r="591" ht="12" customHeight="1" x14ac:dyDescent="0.25"/>
    <row r="592" ht="12" customHeight="1" x14ac:dyDescent="0.25"/>
    <row r="593" ht="12" customHeight="1" x14ac:dyDescent="0.25"/>
    <row r="594" ht="12" customHeight="1" x14ac:dyDescent="0.25"/>
    <row r="595" ht="12" customHeight="1" x14ac:dyDescent="0.25"/>
    <row r="596" ht="12" customHeight="1" x14ac:dyDescent="0.25"/>
    <row r="597" ht="12" customHeight="1" x14ac:dyDescent="0.25"/>
    <row r="598" ht="12" customHeight="1" x14ac:dyDescent="0.25"/>
    <row r="599" ht="12" customHeight="1" x14ac:dyDescent="0.25"/>
    <row r="600" ht="12" customHeight="1" x14ac:dyDescent="0.25"/>
    <row r="601" ht="12" customHeight="1" x14ac:dyDescent="0.25"/>
    <row r="602" ht="12" customHeight="1" x14ac:dyDescent="0.25"/>
    <row r="603" ht="12" customHeight="1" x14ac:dyDescent="0.25"/>
    <row r="604" ht="12" customHeight="1" x14ac:dyDescent="0.25"/>
    <row r="605" ht="12" customHeight="1" x14ac:dyDescent="0.25"/>
    <row r="606" ht="12" customHeight="1" x14ac:dyDescent="0.25"/>
    <row r="607" ht="12" customHeight="1" x14ac:dyDescent="0.25"/>
    <row r="608" ht="12" customHeight="1" x14ac:dyDescent="0.25"/>
    <row r="609" ht="12" customHeight="1" x14ac:dyDescent="0.25"/>
    <row r="610" ht="12" customHeight="1" x14ac:dyDescent="0.25"/>
    <row r="611" ht="12" customHeight="1" x14ac:dyDescent="0.25"/>
    <row r="612" ht="12" customHeight="1" x14ac:dyDescent="0.25"/>
    <row r="613" ht="12" customHeight="1" x14ac:dyDescent="0.25"/>
    <row r="614" ht="12" customHeight="1" x14ac:dyDescent="0.25"/>
    <row r="615" ht="12" customHeight="1" x14ac:dyDescent="0.25"/>
    <row r="616" ht="12" customHeight="1" x14ac:dyDescent="0.25"/>
    <row r="617" ht="12" customHeight="1" x14ac:dyDescent="0.25"/>
    <row r="618" ht="12" customHeight="1" x14ac:dyDescent="0.25"/>
    <row r="619" ht="12" customHeight="1" x14ac:dyDescent="0.25"/>
    <row r="620" ht="12" customHeight="1" x14ac:dyDescent="0.25"/>
    <row r="621" ht="12" customHeight="1" x14ac:dyDescent="0.25"/>
    <row r="622" ht="12" customHeight="1" x14ac:dyDescent="0.25"/>
    <row r="623" ht="12" customHeight="1" x14ac:dyDescent="0.25"/>
    <row r="624" ht="12" customHeight="1" x14ac:dyDescent="0.25"/>
    <row r="625" ht="12" customHeight="1" x14ac:dyDescent="0.25"/>
    <row r="626" ht="12" customHeight="1" x14ac:dyDescent="0.25"/>
    <row r="627" ht="12" customHeight="1" x14ac:dyDescent="0.25"/>
    <row r="628" ht="12" customHeight="1" x14ac:dyDescent="0.25"/>
    <row r="629" ht="12" customHeight="1" x14ac:dyDescent="0.25"/>
    <row r="630" ht="12" customHeight="1" x14ac:dyDescent="0.25"/>
    <row r="631" ht="12" customHeight="1" x14ac:dyDescent="0.25"/>
    <row r="632" ht="12" customHeight="1" x14ac:dyDescent="0.25"/>
    <row r="633" ht="12" customHeight="1" x14ac:dyDescent="0.25"/>
    <row r="634" ht="12" customHeight="1" x14ac:dyDescent="0.25"/>
    <row r="635" ht="12" customHeight="1" x14ac:dyDescent="0.25"/>
    <row r="636" ht="12" customHeight="1" x14ac:dyDescent="0.25"/>
    <row r="637" ht="12" customHeight="1" x14ac:dyDescent="0.25"/>
    <row r="638" ht="12" customHeight="1" x14ac:dyDescent="0.25"/>
    <row r="639" ht="12" customHeight="1" x14ac:dyDescent="0.25"/>
    <row r="640" ht="12" customHeight="1" x14ac:dyDescent="0.25"/>
    <row r="641" ht="12" customHeight="1" x14ac:dyDescent="0.25"/>
    <row r="642" ht="12" customHeight="1" x14ac:dyDescent="0.25"/>
    <row r="643" ht="12" customHeight="1" x14ac:dyDescent="0.25"/>
    <row r="644" ht="12" customHeight="1" x14ac:dyDescent="0.25"/>
    <row r="645" ht="12" customHeight="1" x14ac:dyDescent="0.25"/>
    <row r="646" ht="12" customHeight="1" x14ac:dyDescent="0.25"/>
    <row r="647" ht="12" customHeight="1" x14ac:dyDescent="0.25"/>
    <row r="648" ht="12" customHeight="1" x14ac:dyDescent="0.25"/>
    <row r="649" ht="12" customHeight="1" x14ac:dyDescent="0.25"/>
    <row r="650" ht="12" customHeight="1" x14ac:dyDescent="0.25"/>
    <row r="651" ht="12" customHeight="1" x14ac:dyDescent="0.25"/>
    <row r="652" ht="12" customHeight="1" x14ac:dyDescent="0.25"/>
    <row r="653" ht="12" customHeight="1" x14ac:dyDescent="0.25"/>
    <row r="654" ht="12" customHeight="1" x14ac:dyDescent="0.25"/>
    <row r="655" ht="12" customHeight="1" x14ac:dyDescent="0.25"/>
    <row r="656" ht="12" customHeight="1" x14ac:dyDescent="0.25"/>
    <row r="657" ht="12" customHeight="1" x14ac:dyDescent="0.25"/>
    <row r="658" ht="12" customHeight="1" x14ac:dyDescent="0.25"/>
    <row r="659" ht="12" customHeight="1" x14ac:dyDescent="0.25"/>
    <row r="660" ht="12" customHeight="1" x14ac:dyDescent="0.25"/>
    <row r="661" ht="12" customHeight="1" x14ac:dyDescent="0.25"/>
    <row r="662" ht="12" customHeight="1" x14ac:dyDescent="0.25"/>
    <row r="663" ht="12" customHeight="1" x14ac:dyDescent="0.25"/>
    <row r="664" ht="12" customHeight="1" x14ac:dyDescent="0.25"/>
    <row r="665" ht="12" customHeight="1" x14ac:dyDescent="0.25"/>
    <row r="666" ht="12" customHeight="1" x14ac:dyDescent="0.25"/>
    <row r="667" ht="12" customHeight="1" x14ac:dyDescent="0.25"/>
    <row r="668" ht="12" customHeight="1" x14ac:dyDescent="0.25"/>
    <row r="669" ht="12" customHeight="1" x14ac:dyDescent="0.25"/>
    <row r="670" ht="12" customHeight="1" x14ac:dyDescent="0.25"/>
    <row r="671" ht="12" customHeight="1" x14ac:dyDescent="0.25"/>
    <row r="672" ht="12" customHeight="1" x14ac:dyDescent="0.25"/>
    <row r="673" ht="12" customHeight="1" x14ac:dyDescent="0.25"/>
    <row r="674" ht="12" customHeight="1" x14ac:dyDescent="0.25"/>
    <row r="675" ht="12" customHeight="1" x14ac:dyDescent="0.25"/>
    <row r="676" ht="12" customHeight="1" x14ac:dyDescent="0.25"/>
    <row r="677" ht="12" customHeight="1" x14ac:dyDescent="0.25"/>
    <row r="678" ht="12" customHeight="1" x14ac:dyDescent="0.25"/>
    <row r="679" ht="12" customHeight="1" x14ac:dyDescent="0.25"/>
    <row r="680" ht="12" customHeight="1" x14ac:dyDescent="0.25"/>
    <row r="681" ht="12" customHeight="1" x14ac:dyDescent="0.25"/>
    <row r="682" ht="12" customHeight="1" x14ac:dyDescent="0.25"/>
    <row r="683" ht="12" customHeight="1" x14ac:dyDescent="0.25"/>
    <row r="684" ht="12" customHeight="1" x14ac:dyDescent="0.25"/>
    <row r="685" ht="12" customHeight="1" x14ac:dyDescent="0.25"/>
    <row r="686" ht="12" customHeight="1" x14ac:dyDescent="0.25"/>
    <row r="687" ht="12" customHeight="1" x14ac:dyDescent="0.25"/>
    <row r="688" ht="12" customHeight="1" x14ac:dyDescent="0.25"/>
    <row r="689" ht="12" customHeight="1" x14ac:dyDescent="0.25"/>
    <row r="690" ht="12" customHeight="1" x14ac:dyDescent="0.25"/>
    <row r="691" ht="12" customHeight="1" x14ac:dyDescent="0.25"/>
    <row r="692" ht="12" customHeight="1" x14ac:dyDescent="0.25"/>
    <row r="693" ht="12" customHeight="1" x14ac:dyDescent="0.25"/>
    <row r="694" ht="12" customHeight="1" x14ac:dyDescent="0.25"/>
    <row r="695" ht="12" customHeight="1" x14ac:dyDescent="0.25"/>
    <row r="696" ht="12" customHeight="1" x14ac:dyDescent="0.25"/>
    <row r="697" ht="12" customHeight="1" x14ac:dyDescent="0.25"/>
    <row r="698" ht="12" customHeight="1" x14ac:dyDescent="0.25"/>
    <row r="699" ht="12" customHeight="1" x14ac:dyDescent="0.25"/>
    <row r="700" ht="12" customHeight="1" x14ac:dyDescent="0.25"/>
    <row r="701" ht="12" customHeight="1" x14ac:dyDescent="0.25"/>
    <row r="702" ht="12" customHeight="1" x14ac:dyDescent="0.25"/>
    <row r="703" ht="12" customHeight="1" x14ac:dyDescent="0.25"/>
    <row r="704" ht="12" customHeight="1" x14ac:dyDescent="0.25"/>
    <row r="705" ht="12" customHeight="1" x14ac:dyDescent="0.25"/>
    <row r="706" ht="12" customHeight="1" x14ac:dyDescent="0.25"/>
    <row r="707" ht="12" customHeight="1" x14ac:dyDescent="0.25"/>
    <row r="708" ht="12" customHeight="1" x14ac:dyDescent="0.25"/>
    <row r="709" ht="12" customHeight="1" x14ac:dyDescent="0.25"/>
    <row r="710" ht="12" customHeight="1" x14ac:dyDescent="0.25"/>
    <row r="711" ht="12" customHeight="1" x14ac:dyDescent="0.25"/>
    <row r="712" ht="12" customHeight="1" x14ac:dyDescent="0.25"/>
    <row r="713" ht="12" customHeight="1" x14ac:dyDescent="0.25"/>
    <row r="714" ht="12" customHeight="1" x14ac:dyDescent="0.25"/>
    <row r="715" ht="12" customHeight="1" x14ac:dyDescent="0.25"/>
    <row r="716" ht="12" customHeight="1" x14ac:dyDescent="0.25"/>
    <row r="717" ht="12" customHeight="1" x14ac:dyDescent="0.25"/>
    <row r="718" ht="12" customHeight="1" x14ac:dyDescent="0.25"/>
    <row r="719" ht="12" customHeight="1" x14ac:dyDescent="0.25"/>
    <row r="720" ht="12" customHeight="1" x14ac:dyDescent="0.25"/>
    <row r="721" ht="12" customHeight="1" x14ac:dyDescent="0.25"/>
    <row r="722" ht="12" customHeight="1" x14ac:dyDescent="0.25"/>
    <row r="723" ht="12" customHeight="1" x14ac:dyDescent="0.25"/>
    <row r="724" ht="12" customHeight="1" x14ac:dyDescent="0.25"/>
    <row r="725" ht="12" customHeight="1" x14ac:dyDescent="0.25"/>
    <row r="726" ht="12" customHeight="1" x14ac:dyDescent="0.25"/>
    <row r="727" ht="12" customHeight="1" x14ac:dyDescent="0.25"/>
    <row r="728" ht="12" customHeight="1" x14ac:dyDescent="0.25"/>
    <row r="729" ht="12" customHeight="1" x14ac:dyDescent="0.25"/>
    <row r="730" ht="12" customHeight="1" x14ac:dyDescent="0.25"/>
    <row r="731" ht="12" customHeight="1" x14ac:dyDescent="0.25"/>
    <row r="732" ht="12" customHeight="1" x14ac:dyDescent="0.25"/>
    <row r="733" ht="12" customHeight="1" x14ac:dyDescent="0.25"/>
    <row r="734" ht="12" customHeight="1" x14ac:dyDescent="0.25"/>
    <row r="735" ht="12" customHeight="1" x14ac:dyDescent="0.25"/>
    <row r="736" ht="12" customHeight="1" x14ac:dyDescent="0.25"/>
    <row r="737" ht="12" customHeight="1" x14ac:dyDescent="0.25"/>
    <row r="738" ht="12" customHeight="1" x14ac:dyDescent="0.25"/>
    <row r="739" ht="12" customHeight="1" x14ac:dyDescent="0.25"/>
    <row r="740" ht="12" customHeight="1" x14ac:dyDescent="0.25"/>
    <row r="741" ht="12" customHeight="1" x14ac:dyDescent="0.25"/>
    <row r="742" ht="12" customHeight="1" x14ac:dyDescent="0.25"/>
    <row r="743" ht="12" customHeight="1" x14ac:dyDescent="0.25"/>
    <row r="744" ht="12" customHeight="1" x14ac:dyDescent="0.25"/>
    <row r="745" ht="12" customHeight="1" x14ac:dyDescent="0.25"/>
    <row r="746" ht="12" customHeight="1" x14ac:dyDescent="0.25"/>
    <row r="747" ht="12" customHeight="1" x14ac:dyDescent="0.25"/>
    <row r="748" ht="12" customHeight="1" x14ac:dyDescent="0.25"/>
    <row r="749" ht="12" customHeight="1" x14ac:dyDescent="0.25"/>
    <row r="750" ht="12" customHeight="1" x14ac:dyDescent="0.25"/>
    <row r="751" ht="12" customHeight="1" x14ac:dyDescent="0.25"/>
    <row r="752" ht="12" customHeight="1" x14ac:dyDescent="0.25"/>
    <row r="753" ht="12" customHeight="1" x14ac:dyDescent="0.25"/>
    <row r="754" ht="12" customHeight="1" x14ac:dyDescent="0.25"/>
    <row r="755" ht="12" customHeight="1" x14ac:dyDescent="0.25"/>
    <row r="756" ht="12" customHeight="1" x14ac:dyDescent="0.25"/>
    <row r="757" ht="12" customHeight="1" x14ac:dyDescent="0.25"/>
    <row r="758" ht="12" customHeight="1" x14ac:dyDescent="0.25"/>
    <row r="759" ht="12" customHeight="1" x14ac:dyDescent="0.25"/>
    <row r="760" ht="12" customHeight="1" x14ac:dyDescent="0.25"/>
    <row r="761" ht="12" customHeight="1" x14ac:dyDescent="0.25"/>
    <row r="762" ht="12" customHeight="1" x14ac:dyDescent="0.25"/>
    <row r="763" ht="12" customHeight="1" x14ac:dyDescent="0.25"/>
    <row r="764" ht="12" customHeight="1" x14ac:dyDescent="0.25"/>
    <row r="765" ht="12" customHeight="1" x14ac:dyDescent="0.25"/>
    <row r="766" ht="12" customHeight="1" x14ac:dyDescent="0.25"/>
    <row r="767" ht="12" customHeight="1" x14ac:dyDescent="0.25"/>
    <row r="768" ht="12" customHeight="1" x14ac:dyDescent="0.25"/>
    <row r="769" ht="12" customHeight="1" x14ac:dyDescent="0.25"/>
    <row r="770" ht="12" customHeight="1" x14ac:dyDescent="0.25"/>
    <row r="771" ht="12" customHeight="1" x14ac:dyDescent="0.25"/>
    <row r="772" ht="12" customHeight="1" x14ac:dyDescent="0.25"/>
    <row r="773" ht="12" customHeight="1" x14ac:dyDescent="0.25"/>
    <row r="774" ht="12" customHeight="1" x14ac:dyDescent="0.25"/>
    <row r="775" ht="12" customHeight="1" x14ac:dyDescent="0.25"/>
    <row r="776" ht="12" customHeight="1" x14ac:dyDescent="0.25"/>
    <row r="777" ht="12" customHeight="1" x14ac:dyDescent="0.25"/>
    <row r="778" ht="12" customHeight="1" x14ac:dyDescent="0.25"/>
    <row r="779" ht="12" customHeight="1" x14ac:dyDescent="0.25"/>
    <row r="780" ht="12" customHeight="1" x14ac:dyDescent="0.25"/>
    <row r="781" ht="12" customHeight="1" x14ac:dyDescent="0.25"/>
    <row r="782" ht="12" customHeight="1" x14ac:dyDescent="0.25"/>
    <row r="783" ht="12" customHeight="1" x14ac:dyDescent="0.25"/>
    <row r="784" ht="12" customHeight="1" x14ac:dyDescent="0.25"/>
    <row r="785" ht="12" customHeight="1" x14ac:dyDescent="0.25"/>
    <row r="786" ht="12" customHeight="1" x14ac:dyDescent="0.25"/>
    <row r="787" ht="12" customHeight="1" x14ac:dyDescent="0.25"/>
    <row r="788" ht="12" customHeight="1" x14ac:dyDescent="0.25"/>
    <row r="789" ht="12" customHeight="1" x14ac:dyDescent="0.25"/>
    <row r="790" ht="12" customHeight="1" x14ac:dyDescent="0.25"/>
    <row r="791" ht="12" customHeight="1" x14ac:dyDescent="0.25"/>
    <row r="792" ht="12" customHeight="1" x14ac:dyDescent="0.25"/>
    <row r="793" ht="12" customHeight="1" x14ac:dyDescent="0.25"/>
    <row r="794" ht="12" customHeight="1" x14ac:dyDescent="0.25"/>
    <row r="795" ht="12" customHeight="1" x14ac:dyDescent="0.25"/>
    <row r="796" ht="12" customHeight="1" x14ac:dyDescent="0.25"/>
    <row r="797" ht="12" customHeight="1" x14ac:dyDescent="0.25"/>
    <row r="798" ht="12" customHeight="1" x14ac:dyDescent="0.25"/>
    <row r="799" ht="12" customHeight="1" x14ac:dyDescent="0.25"/>
    <row r="800" ht="12" customHeight="1" x14ac:dyDescent="0.25"/>
    <row r="801" ht="12" customHeight="1" x14ac:dyDescent="0.25"/>
    <row r="802" ht="12" customHeight="1" x14ac:dyDescent="0.25"/>
    <row r="803" ht="12" customHeight="1" x14ac:dyDescent="0.25"/>
    <row r="804" ht="12" customHeight="1" x14ac:dyDescent="0.25"/>
    <row r="805" ht="12" customHeight="1" x14ac:dyDescent="0.25"/>
    <row r="806" ht="12" customHeight="1" x14ac:dyDescent="0.25"/>
    <row r="807" ht="12" customHeight="1" x14ac:dyDescent="0.25"/>
    <row r="808" ht="12" customHeight="1" x14ac:dyDescent="0.25"/>
    <row r="809" ht="12" customHeight="1" x14ac:dyDescent="0.25"/>
    <row r="810" ht="12" customHeight="1" x14ac:dyDescent="0.25"/>
    <row r="811" ht="12" customHeight="1" x14ac:dyDescent="0.25"/>
    <row r="812" ht="12" customHeight="1" x14ac:dyDescent="0.25"/>
    <row r="813" ht="12" customHeight="1" x14ac:dyDescent="0.25"/>
    <row r="814" ht="12" customHeight="1" x14ac:dyDescent="0.25"/>
    <row r="815" ht="12" customHeight="1" x14ac:dyDescent="0.25"/>
    <row r="816" ht="12" customHeight="1" x14ac:dyDescent="0.25"/>
    <row r="817" ht="12" customHeight="1" x14ac:dyDescent="0.25"/>
    <row r="818" ht="12" customHeight="1" x14ac:dyDescent="0.25"/>
    <row r="819" ht="12" customHeight="1" x14ac:dyDescent="0.25"/>
    <row r="820" ht="12" customHeight="1" x14ac:dyDescent="0.25"/>
    <row r="821" ht="12" customHeight="1" x14ac:dyDescent="0.25"/>
    <row r="822" ht="12" customHeight="1" x14ac:dyDescent="0.25"/>
    <row r="823" ht="12" customHeight="1" x14ac:dyDescent="0.25"/>
    <row r="824" ht="12" customHeight="1" x14ac:dyDescent="0.25"/>
    <row r="825" ht="12" customHeight="1" x14ac:dyDescent="0.25"/>
    <row r="826" ht="12" customHeight="1" x14ac:dyDescent="0.25"/>
    <row r="827" ht="12" customHeight="1" x14ac:dyDescent="0.25"/>
    <row r="828" ht="12" customHeight="1" x14ac:dyDescent="0.25"/>
    <row r="829" ht="12" customHeight="1" x14ac:dyDescent="0.25"/>
    <row r="830" ht="12" customHeight="1" x14ac:dyDescent="0.25"/>
    <row r="831" ht="12" customHeight="1" x14ac:dyDescent="0.25"/>
    <row r="832" ht="12" customHeight="1" x14ac:dyDescent="0.25"/>
    <row r="833" ht="12" customHeight="1" x14ac:dyDescent="0.25"/>
    <row r="834" ht="12" customHeight="1" x14ac:dyDescent="0.25"/>
    <row r="835" ht="12" customHeight="1" x14ac:dyDescent="0.25"/>
    <row r="836" ht="12" customHeight="1" x14ac:dyDescent="0.25"/>
    <row r="837" ht="12" customHeight="1" x14ac:dyDescent="0.25"/>
    <row r="838" ht="12" customHeight="1" x14ac:dyDescent="0.25"/>
    <row r="839" ht="12" customHeight="1" x14ac:dyDescent="0.25"/>
    <row r="840" ht="12" customHeight="1" x14ac:dyDescent="0.25"/>
    <row r="841" ht="12" customHeight="1" x14ac:dyDescent="0.25"/>
    <row r="842" ht="12" customHeight="1" x14ac:dyDescent="0.25"/>
    <row r="843" ht="12" customHeight="1" x14ac:dyDescent="0.25"/>
    <row r="844" ht="12" customHeight="1" x14ac:dyDescent="0.25"/>
    <row r="845" ht="12" customHeight="1" x14ac:dyDescent="0.25"/>
    <row r="846" ht="12" customHeight="1" x14ac:dyDescent="0.25"/>
    <row r="847" ht="12" customHeight="1" x14ac:dyDescent="0.25"/>
    <row r="848" ht="12" customHeight="1" x14ac:dyDescent="0.25"/>
    <row r="849" ht="12" customHeight="1" x14ac:dyDescent="0.25"/>
    <row r="850" ht="12" customHeight="1" x14ac:dyDescent="0.25"/>
    <row r="851" ht="12" customHeight="1" x14ac:dyDescent="0.25"/>
    <row r="852" ht="12" customHeight="1" x14ac:dyDescent="0.25"/>
    <row r="853" ht="12" customHeight="1" x14ac:dyDescent="0.25"/>
    <row r="854" ht="12" customHeight="1" x14ac:dyDescent="0.25"/>
    <row r="855" ht="12" customHeight="1" x14ac:dyDescent="0.25"/>
    <row r="856" ht="12" customHeight="1" x14ac:dyDescent="0.25"/>
    <row r="857" ht="12" customHeight="1" x14ac:dyDescent="0.25"/>
    <row r="858" ht="12" customHeight="1" x14ac:dyDescent="0.25"/>
    <row r="859" ht="12" customHeight="1" x14ac:dyDescent="0.25"/>
    <row r="860" ht="12" customHeight="1" x14ac:dyDescent="0.25"/>
    <row r="861" ht="12" customHeight="1" x14ac:dyDescent="0.25"/>
    <row r="862" ht="12" customHeight="1" x14ac:dyDescent="0.25"/>
    <row r="863" ht="12" customHeight="1" x14ac:dyDescent="0.25"/>
    <row r="864" ht="12" customHeight="1" x14ac:dyDescent="0.25"/>
    <row r="865" ht="12" customHeight="1" x14ac:dyDescent="0.25"/>
    <row r="866" ht="12" customHeight="1" x14ac:dyDescent="0.25"/>
    <row r="867" ht="12" customHeight="1" x14ac:dyDescent="0.25"/>
    <row r="868" ht="12" customHeight="1" x14ac:dyDescent="0.25"/>
    <row r="869" ht="12" customHeight="1" x14ac:dyDescent="0.25"/>
    <row r="870" ht="12" customHeight="1" x14ac:dyDescent="0.25"/>
    <row r="871" ht="12" customHeight="1" x14ac:dyDescent="0.25"/>
    <row r="872" ht="12" customHeight="1" x14ac:dyDescent="0.25"/>
    <row r="873" ht="12" customHeight="1" x14ac:dyDescent="0.25"/>
    <row r="874" ht="12" customHeight="1" x14ac:dyDescent="0.25"/>
    <row r="875" ht="12" customHeight="1" x14ac:dyDescent="0.25"/>
    <row r="876" ht="12" customHeight="1" x14ac:dyDescent="0.25"/>
    <row r="877" ht="12" customHeight="1" x14ac:dyDescent="0.25"/>
    <row r="878" ht="12" customHeight="1" x14ac:dyDescent="0.25"/>
    <row r="879" ht="12" customHeight="1" x14ac:dyDescent="0.25"/>
    <row r="880" ht="12" customHeight="1" x14ac:dyDescent="0.25"/>
    <row r="881" ht="12" customHeight="1" x14ac:dyDescent="0.25"/>
    <row r="882" ht="12" customHeight="1" x14ac:dyDescent="0.25"/>
    <row r="883" ht="12" customHeight="1" x14ac:dyDescent="0.25"/>
    <row r="884" ht="12" customHeight="1" x14ac:dyDescent="0.25"/>
    <row r="885" ht="12" customHeight="1" x14ac:dyDescent="0.25"/>
    <row r="886" ht="12" customHeight="1" x14ac:dyDescent="0.25"/>
    <row r="887" ht="12" customHeight="1" x14ac:dyDescent="0.25"/>
    <row r="888" ht="12" customHeight="1" x14ac:dyDescent="0.25"/>
    <row r="889" ht="12" customHeight="1" x14ac:dyDescent="0.25"/>
    <row r="890" ht="12" customHeight="1" x14ac:dyDescent="0.25"/>
    <row r="891" ht="12" customHeight="1" x14ac:dyDescent="0.25"/>
    <row r="892" ht="12" customHeight="1" x14ac:dyDescent="0.25"/>
    <row r="893" ht="12" customHeight="1" x14ac:dyDescent="0.25"/>
    <row r="894" ht="12" customHeight="1" x14ac:dyDescent="0.25"/>
    <row r="895" ht="12" customHeight="1" x14ac:dyDescent="0.25"/>
    <row r="896" ht="12" customHeight="1" x14ac:dyDescent="0.25"/>
    <row r="897" ht="12" customHeight="1" x14ac:dyDescent="0.25"/>
    <row r="898" ht="12" customHeight="1" x14ac:dyDescent="0.25"/>
    <row r="899" ht="12" customHeight="1" x14ac:dyDescent="0.25"/>
    <row r="900" ht="12" customHeight="1" x14ac:dyDescent="0.25"/>
    <row r="901" ht="12" customHeight="1" x14ac:dyDescent="0.25"/>
    <row r="902" ht="12" customHeight="1" x14ac:dyDescent="0.25"/>
    <row r="903" ht="12" customHeight="1" x14ac:dyDescent="0.25"/>
    <row r="904" ht="12" customHeight="1" x14ac:dyDescent="0.25"/>
    <row r="905" ht="12" customHeight="1" x14ac:dyDescent="0.25"/>
    <row r="906" ht="12" customHeight="1" x14ac:dyDescent="0.25"/>
    <row r="907" ht="12" customHeight="1" x14ac:dyDescent="0.25"/>
    <row r="908" ht="12" customHeight="1" x14ac:dyDescent="0.25"/>
    <row r="909" ht="12" customHeight="1" x14ac:dyDescent="0.25"/>
    <row r="910" ht="12" customHeight="1" x14ac:dyDescent="0.25"/>
    <row r="911" ht="12" customHeight="1" x14ac:dyDescent="0.25"/>
    <row r="912" ht="12" customHeight="1" x14ac:dyDescent="0.25"/>
    <row r="913" ht="12" customHeight="1" x14ac:dyDescent="0.25"/>
    <row r="914" ht="12" customHeight="1" x14ac:dyDescent="0.25"/>
    <row r="915" ht="12" customHeight="1" x14ac:dyDescent="0.25"/>
    <row r="916" ht="12" customHeight="1" x14ac:dyDescent="0.25"/>
    <row r="917" ht="12" customHeight="1" x14ac:dyDescent="0.25"/>
    <row r="918" ht="12" customHeight="1" x14ac:dyDescent="0.25"/>
    <row r="919" ht="12" customHeight="1" x14ac:dyDescent="0.25"/>
    <row r="920" ht="12" customHeight="1" x14ac:dyDescent="0.25"/>
    <row r="921" ht="12" customHeight="1" x14ac:dyDescent="0.25"/>
    <row r="922" ht="12" customHeight="1" x14ac:dyDescent="0.25"/>
    <row r="923" ht="12" customHeight="1" x14ac:dyDescent="0.25"/>
    <row r="924" ht="12" customHeight="1" x14ac:dyDescent="0.25"/>
    <row r="925" ht="12" customHeight="1" x14ac:dyDescent="0.25"/>
    <row r="926" ht="12" customHeight="1" x14ac:dyDescent="0.25"/>
    <row r="927" ht="12" customHeight="1" x14ac:dyDescent="0.25"/>
    <row r="928" ht="12" customHeight="1" x14ac:dyDescent="0.25"/>
    <row r="929" ht="12" customHeight="1" x14ac:dyDescent="0.25"/>
    <row r="930" ht="12" customHeight="1" x14ac:dyDescent="0.25"/>
    <row r="931" ht="12" customHeight="1" x14ac:dyDescent="0.25"/>
    <row r="932" ht="12" customHeight="1" x14ac:dyDescent="0.25"/>
    <row r="933" ht="12" customHeight="1" x14ac:dyDescent="0.25"/>
    <row r="934" ht="12" customHeight="1" x14ac:dyDescent="0.25"/>
    <row r="935" ht="12" customHeight="1" x14ac:dyDescent="0.25"/>
    <row r="936" ht="12" customHeight="1" x14ac:dyDescent="0.25"/>
    <row r="937" ht="12" customHeight="1" x14ac:dyDescent="0.25"/>
    <row r="938" ht="12" customHeight="1" x14ac:dyDescent="0.25"/>
    <row r="939" ht="12" customHeight="1" x14ac:dyDescent="0.25"/>
    <row r="940" ht="12" customHeight="1" x14ac:dyDescent="0.25"/>
    <row r="941" ht="12" customHeight="1" x14ac:dyDescent="0.25"/>
    <row r="942" ht="12" customHeight="1" x14ac:dyDescent="0.25"/>
    <row r="943" ht="12" customHeight="1" x14ac:dyDescent="0.25"/>
    <row r="944" ht="12" customHeight="1" x14ac:dyDescent="0.25"/>
    <row r="945" ht="12" customHeight="1" x14ac:dyDescent="0.25"/>
    <row r="946" ht="12" customHeight="1" x14ac:dyDescent="0.25"/>
    <row r="947" ht="12" customHeight="1" x14ac:dyDescent="0.25"/>
    <row r="948" ht="12" customHeight="1" x14ac:dyDescent="0.25"/>
    <row r="949" ht="12" customHeight="1" x14ac:dyDescent="0.25"/>
    <row r="950" ht="12" customHeight="1" x14ac:dyDescent="0.25"/>
    <row r="951" ht="12" customHeight="1" x14ac:dyDescent="0.25"/>
    <row r="952" ht="12" customHeight="1" x14ac:dyDescent="0.25"/>
    <row r="953" ht="12" customHeight="1" x14ac:dyDescent="0.25"/>
    <row r="954" ht="12" customHeight="1" x14ac:dyDescent="0.25"/>
    <row r="955" ht="12" customHeight="1" x14ac:dyDescent="0.25"/>
    <row r="956" ht="12" customHeight="1" x14ac:dyDescent="0.25"/>
    <row r="957" ht="12" customHeight="1" x14ac:dyDescent="0.25"/>
    <row r="958" ht="12" customHeight="1" x14ac:dyDescent="0.25"/>
    <row r="959" ht="12" customHeight="1" x14ac:dyDescent="0.25"/>
    <row r="960" ht="12" customHeight="1" x14ac:dyDescent="0.25"/>
    <row r="961" ht="12" customHeight="1" x14ac:dyDescent="0.25"/>
    <row r="962" ht="12" customHeight="1" x14ac:dyDescent="0.25"/>
    <row r="963" ht="12" customHeight="1" x14ac:dyDescent="0.25"/>
    <row r="964" ht="12" customHeight="1" x14ac:dyDescent="0.25"/>
    <row r="965" ht="12" customHeight="1" x14ac:dyDescent="0.25"/>
    <row r="966" ht="12" customHeight="1" x14ac:dyDescent="0.25"/>
    <row r="967" ht="12" customHeight="1" x14ac:dyDescent="0.25"/>
    <row r="968" ht="12" customHeight="1" x14ac:dyDescent="0.25"/>
    <row r="969" ht="12" customHeight="1" x14ac:dyDescent="0.25"/>
    <row r="970" ht="12" customHeight="1" x14ac:dyDescent="0.25"/>
    <row r="971" ht="12" customHeight="1" x14ac:dyDescent="0.25"/>
    <row r="972" ht="12" customHeight="1" x14ac:dyDescent="0.25"/>
    <row r="973" ht="12" customHeight="1" x14ac:dyDescent="0.25"/>
    <row r="974" ht="12" customHeight="1" x14ac:dyDescent="0.25"/>
    <row r="975" ht="12" customHeight="1" x14ac:dyDescent="0.25"/>
    <row r="976" ht="12" customHeight="1" x14ac:dyDescent="0.25"/>
    <row r="977" ht="12" customHeight="1" x14ac:dyDescent="0.25"/>
    <row r="978" ht="12" customHeight="1" x14ac:dyDescent="0.25"/>
    <row r="979" ht="12" customHeight="1" x14ac:dyDescent="0.25"/>
    <row r="980" ht="12" customHeight="1" x14ac:dyDescent="0.25"/>
    <row r="981" ht="12" customHeight="1" x14ac:dyDescent="0.25"/>
    <row r="982" ht="12" customHeight="1" x14ac:dyDescent="0.25"/>
    <row r="983" ht="12" customHeight="1" x14ac:dyDescent="0.25"/>
    <row r="984" ht="12" customHeight="1" x14ac:dyDescent="0.25"/>
    <row r="985" ht="12" customHeight="1" x14ac:dyDescent="0.25"/>
    <row r="986" ht="12" customHeight="1" x14ac:dyDescent="0.25"/>
    <row r="987" ht="12" customHeight="1" x14ac:dyDescent="0.25"/>
    <row r="988" ht="12" customHeight="1" x14ac:dyDescent="0.25"/>
    <row r="989" ht="12" customHeight="1" x14ac:dyDescent="0.25"/>
    <row r="990" ht="12" customHeight="1" x14ac:dyDescent="0.25"/>
    <row r="991" ht="12" customHeight="1" x14ac:dyDescent="0.25"/>
    <row r="992" ht="12" customHeight="1" x14ac:dyDescent="0.25"/>
    <row r="993" ht="12" customHeight="1" x14ac:dyDescent="0.25"/>
    <row r="994" ht="12" customHeight="1" x14ac:dyDescent="0.25"/>
    <row r="995" ht="12" customHeight="1" x14ac:dyDescent="0.25"/>
    <row r="996" ht="12" customHeight="1" x14ac:dyDescent="0.25"/>
    <row r="997" ht="12" customHeight="1" x14ac:dyDescent="0.25"/>
    <row r="998" ht="12" customHeight="1" x14ac:dyDescent="0.25"/>
    <row r="999" ht="12" customHeight="1" x14ac:dyDescent="0.25"/>
    <row r="1000" ht="12" customHeight="1" x14ac:dyDescent="0.25"/>
  </sheetData>
  <mergeCells count="3">
    <mergeCell ref="B4:K4"/>
    <mergeCell ref="B7:J7"/>
    <mergeCell ref="B32:K32"/>
  </mergeCells>
  <pageMargins left="0.7" right="0.7" top="0.75" bottom="0.75" header="0" footer="0"/>
  <pageSetup orientation="landscape"/>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N1000"/>
  <sheetViews>
    <sheetView workbookViewId="0"/>
  </sheetViews>
  <sheetFormatPr baseColWidth="10" defaultColWidth="12.6328125" defaultRowHeight="15" customHeight="1" x14ac:dyDescent="0.25"/>
  <cols>
    <col min="1" max="26" width="10.6328125" customWidth="1"/>
  </cols>
  <sheetData>
    <row r="1" spans="1:14" ht="12" customHeight="1" x14ac:dyDescent="0.25">
      <c r="A1" s="23"/>
      <c r="B1" s="23"/>
      <c r="C1" s="23"/>
      <c r="D1" s="23"/>
      <c r="E1" s="23"/>
      <c r="F1" s="23"/>
      <c r="G1" s="23"/>
      <c r="H1" s="23"/>
      <c r="I1" s="23"/>
      <c r="J1" s="23"/>
      <c r="K1" s="23"/>
      <c r="L1" s="23"/>
      <c r="M1" s="23"/>
      <c r="N1" s="23"/>
    </row>
    <row r="2" spans="1:14" ht="12" customHeight="1" x14ac:dyDescent="0.25">
      <c r="A2" s="23"/>
      <c r="B2" s="23"/>
      <c r="C2" s="23"/>
      <c r="D2" s="23"/>
      <c r="E2" s="23"/>
      <c r="F2" s="23"/>
      <c r="G2" s="23"/>
      <c r="H2" s="23"/>
      <c r="I2" s="23"/>
      <c r="J2" s="23"/>
      <c r="K2" s="23"/>
      <c r="L2" s="23"/>
      <c r="M2" s="23"/>
      <c r="N2" s="23"/>
    </row>
    <row r="3" spans="1:14" ht="12" customHeight="1" x14ac:dyDescent="0.25">
      <c r="A3" s="23"/>
      <c r="B3" s="23"/>
      <c r="C3" s="23"/>
      <c r="D3" s="23"/>
      <c r="E3" s="23"/>
      <c r="F3" s="23"/>
      <c r="G3" s="23"/>
      <c r="H3" s="23"/>
      <c r="I3" s="23"/>
      <c r="J3" s="23"/>
      <c r="K3" s="23"/>
      <c r="L3" s="23"/>
      <c r="M3" s="23"/>
      <c r="N3" s="23"/>
    </row>
    <row r="4" spans="1:14" ht="12" customHeight="1" x14ac:dyDescent="0.25">
      <c r="A4" s="23"/>
      <c r="B4" s="23"/>
      <c r="C4" s="23"/>
      <c r="D4" s="23"/>
      <c r="E4" s="23"/>
      <c r="F4" s="23"/>
      <c r="G4" s="23"/>
      <c r="H4" s="23"/>
      <c r="I4" s="23"/>
      <c r="J4" s="23"/>
      <c r="K4" s="23"/>
      <c r="L4" s="23"/>
      <c r="M4" s="23"/>
      <c r="N4" s="23"/>
    </row>
    <row r="5" spans="1:14" ht="12" customHeight="1" x14ac:dyDescent="0.25">
      <c r="A5" s="23"/>
      <c r="B5" s="23"/>
      <c r="C5" s="23"/>
      <c r="D5" s="23"/>
      <c r="E5" s="23"/>
      <c r="F5" s="23"/>
      <c r="G5" s="23"/>
      <c r="H5" s="23"/>
      <c r="I5" s="23"/>
      <c r="J5" s="23"/>
      <c r="K5" s="23"/>
      <c r="L5" s="23"/>
      <c r="M5" s="23"/>
      <c r="N5" s="23"/>
    </row>
    <row r="6" spans="1:14" ht="12" customHeight="1" x14ac:dyDescent="0.25">
      <c r="A6" s="23"/>
      <c r="B6" s="23"/>
      <c r="C6" s="23"/>
      <c r="D6" s="23"/>
      <c r="E6" s="23"/>
      <c r="F6" s="23"/>
      <c r="G6" s="23"/>
      <c r="H6" s="23"/>
      <c r="I6" s="23"/>
      <c r="J6" s="23"/>
      <c r="K6" s="23"/>
      <c r="L6" s="23"/>
      <c r="M6" s="23"/>
      <c r="N6" s="23"/>
    </row>
    <row r="7" spans="1:14" ht="12" customHeight="1" x14ac:dyDescent="0.25">
      <c r="A7" s="23"/>
      <c r="B7" s="23"/>
      <c r="C7" s="23"/>
      <c r="D7" s="23"/>
      <c r="E7" s="23"/>
      <c r="F7" s="23"/>
      <c r="G7" s="23"/>
      <c r="H7" s="23"/>
      <c r="I7" s="23"/>
      <c r="J7" s="23"/>
      <c r="K7" s="23"/>
      <c r="L7" s="23"/>
      <c r="M7" s="23"/>
      <c r="N7" s="23"/>
    </row>
    <row r="8" spans="1:14" ht="12" customHeight="1" x14ac:dyDescent="0.25">
      <c r="A8" s="23"/>
      <c r="B8" s="23"/>
      <c r="C8" s="23"/>
      <c r="D8" s="23"/>
      <c r="E8" s="23"/>
      <c r="F8" s="23"/>
      <c r="G8" s="23"/>
      <c r="H8" s="23"/>
      <c r="I8" s="23"/>
      <c r="J8" s="23"/>
      <c r="K8" s="23"/>
      <c r="L8" s="23"/>
      <c r="M8" s="23"/>
      <c r="N8" s="23"/>
    </row>
    <row r="9" spans="1:14" ht="12" customHeight="1" x14ac:dyDescent="0.25">
      <c r="A9" s="23"/>
      <c r="B9" s="23"/>
      <c r="C9" s="23"/>
      <c r="D9" s="23"/>
      <c r="E9" s="23"/>
      <c r="F9" s="23"/>
      <c r="G9" s="23"/>
      <c r="H9" s="23"/>
      <c r="I9" s="23"/>
      <c r="J9" s="23"/>
      <c r="K9" s="23"/>
      <c r="L9" s="23"/>
      <c r="M9" s="23"/>
      <c r="N9" s="23"/>
    </row>
    <row r="10" spans="1:14" ht="12" customHeight="1" x14ac:dyDescent="0.25">
      <c r="A10" s="23"/>
      <c r="B10" s="23"/>
      <c r="C10" s="23"/>
      <c r="D10" s="23"/>
      <c r="E10" s="23"/>
      <c r="F10" s="23"/>
      <c r="G10" s="23"/>
      <c r="H10" s="23"/>
      <c r="I10" s="23"/>
      <c r="J10" s="23"/>
      <c r="K10" s="23"/>
      <c r="L10" s="23"/>
      <c r="M10" s="23"/>
      <c r="N10" s="23"/>
    </row>
    <row r="11" spans="1:14" ht="12" customHeight="1" x14ac:dyDescent="0.25">
      <c r="A11" s="23"/>
      <c r="B11" s="23"/>
      <c r="C11" s="23"/>
      <c r="D11" s="23"/>
      <c r="E11" s="23"/>
      <c r="F11" s="23"/>
      <c r="G11" s="23"/>
      <c r="H11" s="23"/>
      <c r="I11" s="23"/>
      <c r="J11" s="23"/>
      <c r="K11" s="23"/>
      <c r="L11" s="23"/>
      <c r="M11" s="23"/>
      <c r="N11" s="23"/>
    </row>
    <row r="12" spans="1:14" ht="12" customHeight="1" x14ac:dyDescent="0.25">
      <c r="A12" s="23"/>
      <c r="B12" s="23"/>
      <c r="C12" s="23"/>
      <c r="D12" s="23"/>
      <c r="E12" s="23"/>
      <c r="F12" s="23"/>
      <c r="G12" s="23"/>
      <c r="H12" s="23"/>
      <c r="I12" s="23"/>
      <c r="J12" s="23"/>
      <c r="K12" s="23"/>
      <c r="L12" s="23"/>
      <c r="M12" s="23"/>
      <c r="N12" s="23"/>
    </row>
    <row r="13" spans="1:14" ht="12" customHeight="1" x14ac:dyDescent="0.25">
      <c r="A13" s="23"/>
      <c r="B13" s="23"/>
      <c r="C13" s="23"/>
      <c r="D13" s="23"/>
      <c r="E13" s="23"/>
      <c r="F13" s="23"/>
      <c r="G13" s="23"/>
      <c r="H13" s="23"/>
      <c r="I13" s="23"/>
      <c r="J13" s="23"/>
      <c r="K13" s="23"/>
      <c r="L13" s="23"/>
      <c r="M13" s="23"/>
      <c r="N13" s="23"/>
    </row>
    <row r="14" spans="1:14" ht="12" customHeight="1" x14ac:dyDescent="0.25">
      <c r="A14" s="23"/>
      <c r="B14" s="23"/>
      <c r="C14" s="23"/>
      <c r="D14" s="23"/>
      <c r="E14" s="23"/>
      <c r="F14" s="23"/>
      <c r="G14" s="23"/>
      <c r="H14" s="23"/>
      <c r="I14" s="23"/>
      <c r="J14" s="23"/>
      <c r="K14" s="23"/>
      <c r="L14" s="23"/>
      <c r="M14" s="23"/>
      <c r="N14" s="23"/>
    </row>
    <row r="15" spans="1:14" ht="12" customHeight="1" x14ac:dyDescent="0.25"/>
    <row r="16" spans="1:14" ht="12" customHeight="1" x14ac:dyDescent="0.25"/>
    <row r="17" ht="12" customHeight="1" x14ac:dyDescent="0.25"/>
    <row r="18" ht="12" customHeight="1" x14ac:dyDescent="0.25"/>
    <row r="19" ht="12" customHeight="1" x14ac:dyDescent="0.25"/>
    <row r="20" ht="12" customHeight="1" x14ac:dyDescent="0.25"/>
    <row r="21" ht="12" customHeight="1" x14ac:dyDescent="0.25"/>
    <row r="22" ht="12" customHeight="1" x14ac:dyDescent="0.25"/>
    <row r="23" ht="12" customHeight="1" x14ac:dyDescent="0.25"/>
    <row r="24" ht="12" customHeight="1" x14ac:dyDescent="0.25"/>
    <row r="25" ht="12" customHeight="1" x14ac:dyDescent="0.25"/>
    <row r="26" ht="12" customHeight="1" x14ac:dyDescent="0.25"/>
    <row r="27" ht="12" customHeight="1" x14ac:dyDescent="0.25"/>
    <row r="28" ht="12" customHeight="1" x14ac:dyDescent="0.25"/>
    <row r="29" ht="12" customHeight="1" x14ac:dyDescent="0.25"/>
    <row r="30" ht="12" customHeight="1" x14ac:dyDescent="0.25"/>
    <row r="31" ht="12" customHeight="1" x14ac:dyDescent="0.25"/>
    <row r="32" ht="12" customHeight="1" x14ac:dyDescent="0.25"/>
    <row r="33" ht="12" customHeight="1" x14ac:dyDescent="0.25"/>
    <row r="34" ht="12" customHeight="1" x14ac:dyDescent="0.25"/>
    <row r="35" ht="12" customHeight="1" x14ac:dyDescent="0.25"/>
    <row r="36" ht="12" customHeight="1" x14ac:dyDescent="0.25"/>
    <row r="37" ht="12" customHeight="1" x14ac:dyDescent="0.25"/>
    <row r="38" ht="12" customHeight="1" x14ac:dyDescent="0.25"/>
    <row r="39" ht="12" customHeight="1" x14ac:dyDescent="0.25"/>
    <row r="40" ht="12" customHeight="1" x14ac:dyDescent="0.25"/>
    <row r="41" ht="12" customHeight="1" x14ac:dyDescent="0.25"/>
    <row r="42" ht="12" customHeight="1" x14ac:dyDescent="0.25"/>
    <row r="43" ht="12" customHeight="1" x14ac:dyDescent="0.25"/>
    <row r="44" ht="12" customHeight="1" x14ac:dyDescent="0.25"/>
    <row r="45" ht="12" customHeight="1" x14ac:dyDescent="0.25"/>
    <row r="46" ht="12" customHeight="1" x14ac:dyDescent="0.25"/>
    <row r="47" ht="12" customHeight="1" x14ac:dyDescent="0.25"/>
    <row r="48" ht="12" customHeight="1" x14ac:dyDescent="0.25"/>
    <row r="49" ht="12" customHeight="1" x14ac:dyDescent="0.25"/>
    <row r="50" ht="12" customHeight="1" x14ac:dyDescent="0.25"/>
    <row r="51" ht="12" customHeight="1" x14ac:dyDescent="0.25"/>
    <row r="52" ht="12" customHeight="1" x14ac:dyDescent="0.25"/>
    <row r="53" ht="12" customHeight="1" x14ac:dyDescent="0.25"/>
    <row r="54" ht="12" customHeight="1" x14ac:dyDescent="0.25"/>
    <row r="55" ht="12" customHeight="1" x14ac:dyDescent="0.25"/>
    <row r="56" ht="12" customHeight="1" x14ac:dyDescent="0.25"/>
    <row r="57" ht="12" customHeight="1" x14ac:dyDescent="0.25"/>
    <row r="58" ht="12" customHeight="1" x14ac:dyDescent="0.25"/>
    <row r="59" ht="12" customHeight="1" x14ac:dyDescent="0.25"/>
    <row r="60" ht="12" customHeight="1" x14ac:dyDescent="0.25"/>
    <row r="61" ht="12" customHeight="1" x14ac:dyDescent="0.25"/>
    <row r="62" ht="12" customHeight="1" x14ac:dyDescent="0.25"/>
    <row r="63" ht="12" customHeight="1" x14ac:dyDescent="0.25"/>
    <row r="64" ht="12" customHeight="1" x14ac:dyDescent="0.25"/>
    <row r="65" ht="12" customHeight="1" x14ac:dyDescent="0.25"/>
    <row r="66" ht="12" customHeight="1" x14ac:dyDescent="0.25"/>
    <row r="67" ht="12" customHeight="1" x14ac:dyDescent="0.25"/>
    <row r="68" ht="12" customHeight="1" x14ac:dyDescent="0.25"/>
    <row r="69" ht="12" customHeight="1" x14ac:dyDescent="0.25"/>
    <row r="70" ht="12" customHeight="1" x14ac:dyDescent="0.25"/>
    <row r="71" ht="12" customHeight="1" x14ac:dyDescent="0.25"/>
    <row r="72" ht="12" customHeight="1" x14ac:dyDescent="0.25"/>
    <row r="73" ht="12" customHeight="1" x14ac:dyDescent="0.25"/>
    <row r="74" ht="12" customHeight="1" x14ac:dyDescent="0.25"/>
    <row r="75" ht="12" customHeight="1" x14ac:dyDescent="0.25"/>
    <row r="76" ht="12" customHeight="1" x14ac:dyDescent="0.25"/>
    <row r="77" ht="12" customHeight="1" x14ac:dyDescent="0.25"/>
    <row r="78" ht="12" customHeight="1" x14ac:dyDescent="0.25"/>
    <row r="79" ht="12" customHeight="1" x14ac:dyDescent="0.25"/>
    <row r="80" ht="12" customHeight="1" x14ac:dyDescent="0.25"/>
    <row r="81" ht="12" customHeight="1" x14ac:dyDescent="0.25"/>
    <row r="82" ht="12" customHeight="1" x14ac:dyDescent="0.25"/>
    <row r="83" ht="12" customHeight="1" x14ac:dyDescent="0.25"/>
    <row r="84" ht="12" customHeight="1" x14ac:dyDescent="0.25"/>
    <row r="85" ht="12" customHeight="1" x14ac:dyDescent="0.25"/>
    <row r="86" ht="12" customHeight="1" x14ac:dyDescent="0.25"/>
    <row r="87" ht="12" customHeight="1" x14ac:dyDescent="0.25"/>
    <row r="88" ht="12" customHeight="1" x14ac:dyDescent="0.25"/>
    <row r="89" ht="12" customHeight="1" x14ac:dyDescent="0.25"/>
    <row r="90" ht="12" customHeight="1" x14ac:dyDescent="0.25"/>
    <row r="91" ht="12" customHeight="1" x14ac:dyDescent="0.25"/>
    <row r="92" ht="12" customHeight="1" x14ac:dyDescent="0.25"/>
    <row r="93" ht="12" customHeight="1" x14ac:dyDescent="0.25"/>
    <row r="94" ht="12" customHeight="1" x14ac:dyDescent="0.25"/>
    <row r="95" ht="12" customHeight="1" x14ac:dyDescent="0.25"/>
    <row r="96" ht="12" customHeight="1" x14ac:dyDescent="0.25"/>
    <row r="97" ht="12" customHeight="1" x14ac:dyDescent="0.25"/>
    <row r="98" ht="12" customHeight="1" x14ac:dyDescent="0.25"/>
    <row r="99" ht="12" customHeight="1" x14ac:dyDescent="0.25"/>
    <row r="100" ht="12" customHeight="1" x14ac:dyDescent="0.25"/>
    <row r="101" ht="12" customHeight="1" x14ac:dyDescent="0.25"/>
    <row r="102" ht="12" customHeight="1" x14ac:dyDescent="0.25"/>
    <row r="103" ht="12" customHeight="1" x14ac:dyDescent="0.25"/>
    <row r="104" ht="12" customHeight="1" x14ac:dyDescent="0.25"/>
    <row r="105" ht="12" customHeight="1" x14ac:dyDescent="0.25"/>
    <row r="106" ht="12" customHeight="1" x14ac:dyDescent="0.25"/>
    <row r="107" ht="12" customHeight="1" x14ac:dyDescent="0.25"/>
    <row r="108" ht="12" customHeight="1" x14ac:dyDescent="0.25"/>
    <row r="109" ht="12" customHeight="1" x14ac:dyDescent="0.25"/>
    <row r="110" ht="12" customHeight="1" x14ac:dyDescent="0.25"/>
    <row r="111" ht="12" customHeight="1" x14ac:dyDescent="0.25"/>
    <row r="112" ht="12" customHeight="1" x14ac:dyDescent="0.25"/>
    <row r="113" ht="12" customHeight="1" x14ac:dyDescent="0.25"/>
    <row r="114" ht="12" customHeight="1" x14ac:dyDescent="0.25"/>
    <row r="115" ht="12" customHeight="1" x14ac:dyDescent="0.25"/>
    <row r="116" ht="12" customHeight="1" x14ac:dyDescent="0.25"/>
    <row r="117" ht="12" customHeight="1" x14ac:dyDescent="0.25"/>
    <row r="118" ht="12" customHeight="1" x14ac:dyDescent="0.25"/>
    <row r="119" ht="12" customHeight="1" x14ac:dyDescent="0.25"/>
    <row r="120" ht="12" customHeight="1" x14ac:dyDescent="0.25"/>
    <row r="121" ht="12" customHeight="1" x14ac:dyDescent="0.25"/>
    <row r="122" ht="12" customHeight="1" x14ac:dyDescent="0.25"/>
    <row r="123" ht="12" customHeight="1" x14ac:dyDescent="0.25"/>
    <row r="124" ht="12" customHeight="1" x14ac:dyDescent="0.25"/>
    <row r="125" ht="12" customHeight="1" x14ac:dyDescent="0.25"/>
    <row r="126" ht="12" customHeight="1" x14ac:dyDescent="0.25"/>
    <row r="127" ht="12" customHeight="1" x14ac:dyDescent="0.25"/>
    <row r="128" ht="12" customHeight="1" x14ac:dyDescent="0.25"/>
    <row r="129" ht="12" customHeight="1" x14ac:dyDescent="0.25"/>
    <row r="130" ht="12" customHeight="1" x14ac:dyDescent="0.25"/>
    <row r="131" ht="12" customHeight="1" x14ac:dyDescent="0.25"/>
    <row r="132" ht="12" customHeight="1" x14ac:dyDescent="0.25"/>
    <row r="133" ht="12" customHeight="1" x14ac:dyDescent="0.25"/>
    <row r="134" ht="12" customHeight="1" x14ac:dyDescent="0.25"/>
    <row r="135" ht="12" customHeight="1" x14ac:dyDescent="0.25"/>
    <row r="136" ht="12" customHeight="1" x14ac:dyDescent="0.25"/>
    <row r="137" ht="12" customHeight="1" x14ac:dyDescent="0.25"/>
    <row r="138" ht="12" customHeight="1" x14ac:dyDescent="0.25"/>
    <row r="139" ht="12" customHeight="1" x14ac:dyDescent="0.25"/>
    <row r="140" ht="12" customHeight="1" x14ac:dyDescent="0.25"/>
    <row r="141" ht="12" customHeight="1" x14ac:dyDescent="0.25"/>
    <row r="142" ht="12" customHeight="1" x14ac:dyDescent="0.25"/>
    <row r="143" ht="12" customHeight="1" x14ac:dyDescent="0.25"/>
    <row r="144" ht="12" customHeight="1" x14ac:dyDescent="0.25"/>
    <row r="145" ht="12" customHeight="1" x14ac:dyDescent="0.25"/>
    <row r="146" ht="12" customHeight="1" x14ac:dyDescent="0.25"/>
    <row r="147" ht="12" customHeight="1" x14ac:dyDescent="0.25"/>
    <row r="148" ht="12" customHeight="1" x14ac:dyDescent="0.25"/>
    <row r="149" ht="12" customHeight="1" x14ac:dyDescent="0.25"/>
    <row r="150" ht="12" customHeight="1" x14ac:dyDescent="0.25"/>
    <row r="151" ht="12" customHeight="1" x14ac:dyDescent="0.25"/>
    <row r="152" ht="12" customHeight="1" x14ac:dyDescent="0.25"/>
    <row r="153" ht="12" customHeight="1" x14ac:dyDescent="0.25"/>
    <row r="154" ht="12" customHeight="1" x14ac:dyDescent="0.25"/>
    <row r="155" ht="12" customHeight="1" x14ac:dyDescent="0.25"/>
    <row r="156" ht="12" customHeight="1" x14ac:dyDescent="0.25"/>
    <row r="157" ht="12" customHeight="1" x14ac:dyDescent="0.25"/>
    <row r="158" ht="12" customHeight="1" x14ac:dyDescent="0.25"/>
    <row r="159" ht="12" customHeight="1" x14ac:dyDescent="0.25"/>
    <row r="160" ht="12" customHeight="1" x14ac:dyDescent="0.25"/>
    <row r="161" ht="12" customHeight="1" x14ac:dyDescent="0.25"/>
    <row r="162" ht="12" customHeight="1" x14ac:dyDescent="0.25"/>
    <row r="163" ht="12" customHeight="1" x14ac:dyDescent="0.25"/>
    <row r="164" ht="12" customHeight="1" x14ac:dyDescent="0.25"/>
    <row r="165" ht="12" customHeight="1" x14ac:dyDescent="0.25"/>
    <row r="166" ht="12" customHeight="1" x14ac:dyDescent="0.25"/>
    <row r="167" ht="12" customHeight="1" x14ac:dyDescent="0.25"/>
    <row r="168" ht="12" customHeight="1" x14ac:dyDescent="0.25"/>
    <row r="169" ht="12" customHeight="1" x14ac:dyDescent="0.25"/>
    <row r="170" ht="12" customHeight="1" x14ac:dyDescent="0.25"/>
    <row r="171" ht="12" customHeight="1" x14ac:dyDescent="0.25"/>
    <row r="172" ht="12" customHeight="1" x14ac:dyDescent="0.25"/>
    <row r="173" ht="12" customHeight="1" x14ac:dyDescent="0.25"/>
    <row r="174" ht="12" customHeight="1" x14ac:dyDescent="0.25"/>
    <row r="175" ht="12" customHeight="1" x14ac:dyDescent="0.25"/>
    <row r="176" ht="12" customHeight="1" x14ac:dyDescent="0.25"/>
    <row r="177" ht="12" customHeight="1" x14ac:dyDescent="0.25"/>
    <row r="178" ht="12" customHeight="1" x14ac:dyDescent="0.25"/>
    <row r="179" ht="12" customHeight="1" x14ac:dyDescent="0.25"/>
    <row r="180" ht="12" customHeight="1" x14ac:dyDescent="0.25"/>
    <row r="181" ht="12" customHeight="1" x14ac:dyDescent="0.25"/>
    <row r="182" ht="12" customHeight="1" x14ac:dyDescent="0.25"/>
    <row r="183" ht="12" customHeight="1" x14ac:dyDescent="0.25"/>
    <row r="184" ht="12" customHeight="1" x14ac:dyDescent="0.25"/>
    <row r="185" ht="12" customHeight="1" x14ac:dyDescent="0.25"/>
    <row r="186" ht="12" customHeight="1" x14ac:dyDescent="0.25"/>
    <row r="187" ht="12" customHeight="1" x14ac:dyDescent="0.25"/>
    <row r="188" ht="12" customHeight="1" x14ac:dyDescent="0.25"/>
    <row r="189" ht="12" customHeight="1" x14ac:dyDescent="0.25"/>
    <row r="190" ht="12" customHeight="1" x14ac:dyDescent="0.25"/>
    <row r="191" ht="12" customHeight="1" x14ac:dyDescent="0.25"/>
    <row r="192" ht="12" customHeight="1" x14ac:dyDescent="0.25"/>
    <row r="193" ht="12" customHeight="1" x14ac:dyDescent="0.25"/>
    <row r="194" ht="12" customHeight="1" x14ac:dyDescent="0.25"/>
    <row r="195" ht="12" customHeight="1" x14ac:dyDescent="0.25"/>
    <row r="196" ht="12" customHeight="1" x14ac:dyDescent="0.25"/>
    <row r="197" ht="12" customHeight="1" x14ac:dyDescent="0.25"/>
    <row r="198" ht="12" customHeight="1" x14ac:dyDescent="0.25"/>
    <row r="199" ht="12" customHeight="1" x14ac:dyDescent="0.25"/>
    <row r="200" ht="12" customHeight="1" x14ac:dyDescent="0.25"/>
    <row r="201" ht="12" customHeight="1" x14ac:dyDescent="0.25"/>
    <row r="202" ht="12" customHeight="1" x14ac:dyDescent="0.25"/>
    <row r="203" ht="12" customHeight="1" x14ac:dyDescent="0.25"/>
    <row r="204" ht="12" customHeight="1" x14ac:dyDescent="0.25"/>
    <row r="205" ht="12" customHeight="1" x14ac:dyDescent="0.25"/>
    <row r="206" ht="12" customHeight="1" x14ac:dyDescent="0.25"/>
    <row r="207" ht="12" customHeight="1" x14ac:dyDescent="0.25"/>
    <row r="208" ht="12" customHeight="1" x14ac:dyDescent="0.25"/>
    <row r="209" ht="12" customHeight="1" x14ac:dyDescent="0.25"/>
    <row r="210" ht="12" customHeight="1" x14ac:dyDescent="0.25"/>
    <row r="211" ht="12" customHeight="1" x14ac:dyDescent="0.25"/>
    <row r="212" ht="12" customHeight="1" x14ac:dyDescent="0.25"/>
    <row r="213" ht="12" customHeight="1" x14ac:dyDescent="0.25"/>
    <row r="214" ht="12" customHeight="1" x14ac:dyDescent="0.25"/>
    <row r="215" ht="12" customHeight="1" x14ac:dyDescent="0.25"/>
    <row r="216" ht="12" customHeight="1" x14ac:dyDescent="0.25"/>
    <row r="217" ht="12" customHeight="1" x14ac:dyDescent="0.25"/>
    <row r="218" ht="12" customHeight="1" x14ac:dyDescent="0.25"/>
    <row r="219" ht="12" customHeight="1" x14ac:dyDescent="0.25"/>
    <row r="220" ht="12" customHeight="1" x14ac:dyDescent="0.25"/>
    <row r="221" ht="12" customHeight="1" x14ac:dyDescent="0.25"/>
    <row r="222" ht="12" customHeight="1" x14ac:dyDescent="0.25"/>
    <row r="223" ht="12" customHeight="1" x14ac:dyDescent="0.25"/>
    <row r="224" ht="12" customHeight="1" x14ac:dyDescent="0.25"/>
    <row r="225" ht="12" customHeight="1" x14ac:dyDescent="0.25"/>
    <row r="226" ht="12" customHeight="1" x14ac:dyDescent="0.25"/>
    <row r="227" ht="12" customHeight="1" x14ac:dyDescent="0.25"/>
    <row r="228" ht="12" customHeight="1" x14ac:dyDescent="0.25"/>
    <row r="229" ht="12" customHeight="1" x14ac:dyDescent="0.25"/>
    <row r="230" ht="12" customHeight="1" x14ac:dyDescent="0.25"/>
    <row r="231" ht="12" customHeight="1" x14ac:dyDescent="0.25"/>
    <row r="232" ht="12" customHeight="1" x14ac:dyDescent="0.25"/>
    <row r="233" ht="12" customHeight="1" x14ac:dyDescent="0.25"/>
    <row r="234" ht="12" customHeight="1" x14ac:dyDescent="0.25"/>
    <row r="235" ht="12" customHeight="1" x14ac:dyDescent="0.25"/>
    <row r="236" ht="12" customHeight="1" x14ac:dyDescent="0.25"/>
    <row r="237" ht="12" customHeight="1" x14ac:dyDescent="0.25"/>
    <row r="238" ht="12" customHeight="1" x14ac:dyDescent="0.25"/>
    <row r="239" ht="12" customHeight="1" x14ac:dyDescent="0.25"/>
    <row r="240" ht="12" customHeight="1" x14ac:dyDescent="0.25"/>
    <row r="241" ht="12" customHeight="1" x14ac:dyDescent="0.25"/>
    <row r="242" ht="12" customHeight="1" x14ac:dyDescent="0.25"/>
    <row r="243" ht="12" customHeight="1" x14ac:dyDescent="0.25"/>
    <row r="244" ht="12" customHeight="1" x14ac:dyDescent="0.25"/>
    <row r="245" ht="12" customHeight="1" x14ac:dyDescent="0.25"/>
    <row r="246" ht="12" customHeight="1" x14ac:dyDescent="0.25"/>
    <row r="247" ht="12" customHeight="1" x14ac:dyDescent="0.25"/>
    <row r="248" ht="12" customHeight="1" x14ac:dyDescent="0.25"/>
    <row r="249" ht="12" customHeight="1" x14ac:dyDescent="0.25"/>
    <row r="250" ht="12" customHeight="1" x14ac:dyDescent="0.25"/>
    <row r="251" ht="12" customHeight="1" x14ac:dyDescent="0.25"/>
    <row r="252" ht="12" customHeight="1" x14ac:dyDescent="0.25"/>
    <row r="253" ht="12" customHeight="1" x14ac:dyDescent="0.25"/>
    <row r="254" ht="12" customHeight="1" x14ac:dyDescent="0.25"/>
    <row r="255" ht="12" customHeight="1" x14ac:dyDescent="0.25"/>
    <row r="256" ht="12" customHeight="1" x14ac:dyDescent="0.25"/>
    <row r="257" ht="12" customHeight="1" x14ac:dyDescent="0.25"/>
    <row r="258" ht="12" customHeight="1" x14ac:dyDescent="0.25"/>
    <row r="259" ht="12" customHeight="1" x14ac:dyDescent="0.25"/>
    <row r="260" ht="12" customHeight="1" x14ac:dyDescent="0.25"/>
    <row r="261" ht="12" customHeight="1" x14ac:dyDescent="0.25"/>
    <row r="262" ht="12" customHeight="1" x14ac:dyDescent="0.25"/>
    <row r="263" ht="12" customHeight="1" x14ac:dyDescent="0.25"/>
    <row r="264" ht="12" customHeight="1" x14ac:dyDescent="0.25"/>
    <row r="265" ht="12" customHeight="1" x14ac:dyDescent="0.25"/>
    <row r="266" ht="12" customHeight="1" x14ac:dyDescent="0.25"/>
    <row r="267" ht="12" customHeight="1" x14ac:dyDescent="0.25"/>
    <row r="268" ht="12" customHeight="1" x14ac:dyDescent="0.25"/>
    <row r="269" ht="12" customHeight="1" x14ac:dyDescent="0.25"/>
    <row r="270" ht="12" customHeight="1" x14ac:dyDescent="0.25"/>
    <row r="271" ht="12" customHeight="1" x14ac:dyDescent="0.25"/>
    <row r="272" ht="12" customHeight="1" x14ac:dyDescent="0.25"/>
    <row r="273" ht="12" customHeight="1" x14ac:dyDescent="0.25"/>
    <row r="274" ht="12" customHeight="1" x14ac:dyDescent="0.25"/>
    <row r="275" ht="12" customHeight="1" x14ac:dyDescent="0.25"/>
    <row r="276" ht="12" customHeight="1" x14ac:dyDescent="0.25"/>
    <row r="277" ht="12" customHeight="1" x14ac:dyDescent="0.25"/>
    <row r="278" ht="12" customHeight="1" x14ac:dyDescent="0.25"/>
    <row r="279" ht="12" customHeight="1" x14ac:dyDescent="0.25"/>
    <row r="280" ht="12" customHeight="1" x14ac:dyDescent="0.25"/>
    <row r="281" ht="12" customHeight="1" x14ac:dyDescent="0.25"/>
    <row r="282" ht="12" customHeight="1" x14ac:dyDescent="0.25"/>
    <row r="283" ht="12" customHeight="1" x14ac:dyDescent="0.25"/>
    <row r="284" ht="12" customHeight="1" x14ac:dyDescent="0.25"/>
    <row r="285" ht="12" customHeight="1" x14ac:dyDescent="0.25"/>
    <row r="286" ht="12" customHeight="1" x14ac:dyDescent="0.25"/>
    <row r="287" ht="12" customHeight="1" x14ac:dyDescent="0.25"/>
    <row r="288" ht="12" customHeight="1" x14ac:dyDescent="0.25"/>
    <row r="289" ht="12" customHeight="1" x14ac:dyDescent="0.25"/>
    <row r="290" ht="12" customHeight="1" x14ac:dyDescent="0.25"/>
    <row r="291" ht="12" customHeight="1" x14ac:dyDescent="0.25"/>
    <row r="292" ht="12" customHeight="1" x14ac:dyDescent="0.25"/>
    <row r="293" ht="12" customHeight="1" x14ac:dyDescent="0.25"/>
    <row r="294" ht="12" customHeight="1" x14ac:dyDescent="0.25"/>
    <row r="295" ht="12" customHeight="1" x14ac:dyDescent="0.25"/>
    <row r="296" ht="12" customHeight="1" x14ac:dyDescent="0.25"/>
    <row r="297" ht="12" customHeight="1" x14ac:dyDescent="0.25"/>
    <row r="298" ht="12" customHeight="1" x14ac:dyDescent="0.25"/>
    <row r="299" ht="12" customHeight="1" x14ac:dyDescent="0.25"/>
    <row r="300" ht="12" customHeight="1" x14ac:dyDescent="0.25"/>
    <row r="301" ht="12" customHeight="1" x14ac:dyDescent="0.25"/>
    <row r="302" ht="12" customHeight="1" x14ac:dyDescent="0.25"/>
    <row r="303" ht="12" customHeight="1" x14ac:dyDescent="0.25"/>
    <row r="304" ht="12" customHeight="1" x14ac:dyDescent="0.25"/>
    <row r="305" ht="12" customHeight="1" x14ac:dyDescent="0.25"/>
    <row r="306" ht="12" customHeight="1" x14ac:dyDescent="0.25"/>
    <row r="307" ht="12" customHeight="1" x14ac:dyDescent="0.25"/>
    <row r="308" ht="12" customHeight="1" x14ac:dyDescent="0.25"/>
    <row r="309" ht="12" customHeight="1" x14ac:dyDescent="0.25"/>
    <row r="310" ht="12" customHeight="1" x14ac:dyDescent="0.25"/>
    <row r="311" ht="12" customHeight="1" x14ac:dyDescent="0.25"/>
    <row r="312" ht="12" customHeight="1" x14ac:dyDescent="0.25"/>
    <row r="313" ht="12" customHeight="1" x14ac:dyDescent="0.25"/>
    <row r="314" ht="12" customHeight="1" x14ac:dyDescent="0.25"/>
    <row r="315" ht="12" customHeight="1" x14ac:dyDescent="0.25"/>
    <row r="316" ht="12" customHeight="1" x14ac:dyDescent="0.25"/>
    <row r="317" ht="12" customHeight="1" x14ac:dyDescent="0.25"/>
    <row r="318" ht="12" customHeight="1" x14ac:dyDescent="0.25"/>
    <row r="319" ht="12" customHeight="1" x14ac:dyDescent="0.25"/>
    <row r="320" ht="12" customHeight="1" x14ac:dyDescent="0.25"/>
    <row r="321" ht="12" customHeight="1" x14ac:dyDescent="0.25"/>
    <row r="322" ht="12" customHeight="1" x14ac:dyDescent="0.25"/>
    <row r="323" ht="12" customHeight="1" x14ac:dyDescent="0.25"/>
    <row r="324" ht="12" customHeight="1" x14ac:dyDescent="0.25"/>
    <row r="325" ht="12" customHeight="1" x14ac:dyDescent="0.25"/>
    <row r="326" ht="12" customHeight="1" x14ac:dyDescent="0.25"/>
    <row r="327" ht="12" customHeight="1" x14ac:dyDescent="0.25"/>
    <row r="328" ht="12" customHeight="1" x14ac:dyDescent="0.25"/>
    <row r="329" ht="12" customHeight="1" x14ac:dyDescent="0.25"/>
    <row r="330" ht="12" customHeight="1" x14ac:dyDescent="0.25"/>
    <row r="331" ht="12" customHeight="1" x14ac:dyDescent="0.25"/>
    <row r="332" ht="12" customHeight="1" x14ac:dyDescent="0.25"/>
    <row r="333" ht="12" customHeight="1" x14ac:dyDescent="0.25"/>
    <row r="334" ht="12" customHeight="1" x14ac:dyDescent="0.25"/>
    <row r="335" ht="12" customHeight="1" x14ac:dyDescent="0.25"/>
    <row r="336" ht="12" customHeight="1" x14ac:dyDescent="0.25"/>
    <row r="337" ht="12" customHeight="1" x14ac:dyDescent="0.25"/>
    <row r="338" ht="12" customHeight="1" x14ac:dyDescent="0.25"/>
    <row r="339" ht="12" customHeight="1" x14ac:dyDescent="0.25"/>
    <row r="340" ht="12" customHeight="1" x14ac:dyDescent="0.25"/>
    <row r="341" ht="12" customHeight="1" x14ac:dyDescent="0.25"/>
    <row r="342" ht="12" customHeight="1" x14ac:dyDescent="0.25"/>
    <row r="343" ht="12" customHeight="1" x14ac:dyDescent="0.25"/>
    <row r="344" ht="12" customHeight="1" x14ac:dyDescent="0.25"/>
    <row r="345" ht="12" customHeight="1" x14ac:dyDescent="0.25"/>
    <row r="346" ht="12" customHeight="1" x14ac:dyDescent="0.25"/>
    <row r="347" ht="12" customHeight="1" x14ac:dyDescent="0.25"/>
    <row r="348" ht="12" customHeight="1" x14ac:dyDescent="0.25"/>
    <row r="349" ht="12" customHeight="1" x14ac:dyDescent="0.25"/>
    <row r="350" ht="12" customHeight="1" x14ac:dyDescent="0.25"/>
    <row r="351" ht="12" customHeight="1" x14ac:dyDescent="0.25"/>
    <row r="352" ht="12" customHeight="1" x14ac:dyDescent="0.25"/>
    <row r="353" ht="12" customHeight="1" x14ac:dyDescent="0.25"/>
    <row r="354" ht="12" customHeight="1" x14ac:dyDescent="0.25"/>
    <row r="355" ht="12" customHeight="1" x14ac:dyDescent="0.25"/>
    <row r="356" ht="12" customHeight="1" x14ac:dyDescent="0.25"/>
    <row r="357" ht="12" customHeight="1" x14ac:dyDescent="0.25"/>
    <row r="358" ht="12" customHeight="1" x14ac:dyDescent="0.25"/>
    <row r="359" ht="12" customHeight="1" x14ac:dyDescent="0.25"/>
    <row r="360" ht="12" customHeight="1" x14ac:dyDescent="0.25"/>
    <row r="361" ht="12" customHeight="1" x14ac:dyDescent="0.25"/>
    <row r="362" ht="12" customHeight="1" x14ac:dyDescent="0.25"/>
    <row r="363" ht="12" customHeight="1" x14ac:dyDescent="0.25"/>
    <row r="364" ht="12" customHeight="1" x14ac:dyDescent="0.25"/>
    <row r="365" ht="12" customHeight="1" x14ac:dyDescent="0.25"/>
    <row r="366" ht="12" customHeight="1" x14ac:dyDescent="0.25"/>
    <row r="367" ht="12" customHeight="1" x14ac:dyDescent="0.25"/>
    <row r="368" ht="12" customHeight="1" x14ac:dyDescent="0.25"/>
    <row r="369" ht="12" customHeight="1" x14ac:dyDescent="0.25"/>
    <row r="370" ht="12" customHeight="1" x14ac:dyDescent="0.25"/>
    <row r="371" ht="12" customHeight="1" x14ac:dyDescent="0.25"/>
    <row r="372" ht="12" customHeight="1" x14ac:dyDescent="0.25"/>
    <row r="373" ht="12" customHeight="1" x14ac:dyDescent="0.25"/>
    <row r="374" ht="12" customHeight="1" x14ac:dyDescent="0.25"/>
    <row r="375" ht="12" customHeight="1" x14ac:dyDescent="0.25"/>
    <row r="376" ht="12" customHeight="1" x14ac:dyDescent="0.25"/>
    <row r="377" ht="12" customHeight="1" x14ac:dyDescent="0.25"/>
    <row r="378" ht="12" customHeight="1" x14ac:dyDescent="0.25"/>
    <row r="379" ht="12" customHeight="1" x14ac:dyDescent="0.25"/>
    <row r="380" ht="12" customHeight="1" x14ac:dyDescent="0.25"/>
    <row r="381" ht="12" customHeight="1" x14ac:dyDescent="0.25"/>
    <row r="382" ht="12" customHeight="1" x14ac:dyDescent="0.25"/>
    <row r="383" ht="12" customHeight="1" x14ac:dyDescent="0.25"/>
    <row r="384" ht="12" customHeight="1" x14ac:dyDescent="0.25"/>
    <row r="385" ht="12" customHeight="1" x14ac:dyDescent="0.25"/>
    <row r="386" ht="12" customHeight="1" x14ac:dyDescent="0.25"/>
    <row r="387" ht="12" customHeight="1" x14ac:dyDescent="0.25"/>
    <row r="388" ht="12" customHeight="1" x14ac:dyDescent="0.25"/>
    <row r="389" ht="12" customHeight="1" x14ac:dyDescent="0.25"/>
    <row r="390" ht="12" customHeight="1" x14ac:dyDescent="0.25"/>
    <row r="391" ht="12" customHeight="1" x14ac:dyDescent="0.25"/>
    <row r="392" ht="12" customHeight="1" x14ac:dyDescent="0.25"/>
    <row r="393" ht="12" customHeight="1" x14ac:dyDescent="0.25"/>
    <row r="394" ht="12" customHeight="1" x14ac:dyDescent="0.25"/>
    <row r="395" ht="12" customHeight="1" x14ac:dyDescent="0.25"/>
    <row r="396" ht="12" customHeight="1" x14ac:dyDescent="0.25"/>
    <row r="397" ht="12" customHeight="1" x14ac:dyDescent="0.25"/>
    <row r="398" ht="12" customHeight="1" x14ac:dyDescent="0.25"/>
    <row r="399" ht="12" customHeight="1" x14ac:dyDescent="0.25"/>
    <row r="400" ht="12" customHeight="1" x14ac:dyDescent="0.25"/>
    <row r="401" ht="12" customHeight="1" x14ac:dyDescent="0.25"/>
    <row r="402" ht="12" customHeight="1" x14ac:dyDescent="0.25"/>
    <row r="403" ht="12" customHeight="1" x14ac:dyDescent="0.25"/>
    <row r="404" ht="12" customHeight="1" x14ac:dyDescent="0.25"/>
    <row r="405" ht="12" customHeight="1" x14ac:dyDescent="0.25"/>
    <row r="406" ht="12" customHeight="1" x14ac:dyDescent="0.25"/>
    <row r="407" ht="12" customHeight="1" x14ac:dyDescent="0.25"/>
    <row r="408" ht="12" customHeight="1" x14ac:dyDescent="0.25"/>
    <row r="409" ht="12" customHeight="1" x14ac:dyDescent="0.25"/>
    <row r="410" ht="12" customHeight="1" x14ac:dyDescent="0.25"/>
    <row r="411" ht="12" customHeight="1" x14ac:dyDescent="0.25"/>
    <row r="412" ht="12" customHeight="1" x14ac:dyDescent="0.25"/>
    <row r="413" ht="12" customHeight="1" x14ac:dyDescent="0.25"/>
    <row r="414" ht="12" customHeight="1" x14ac:dyDescent="0.25"/>
    <row r="415" ht="12" customHeight="1" x14ac:dyDescent="0.25"/>
    <row r="416" ht="12" customHeight="1" x14ac:dyDescent="0.25"/>
    <row r="417" ht="12" customHeight="1" x14ac:dyDescent="0.25"/>
    <row r="418" ht="12" customHeight="1" x14ac:dyDescent="0.25"/>
    <row r="419" ht="12" customHeight="1" x14ac:dyDescent="0.25"/>
    <row r="420" ht="12" customHeight="1" x14ac:dyDescent="0.25"/>
    <row r="421" ht="12" customHeight="1" x14ac:dyDescent="0.25"/>
    <row r="422" ht="12" customHeight="1" x14ac:dyDescent="0.25"/>
    <row r="423" ht="12" customHeight="1" x14ac:dyDescent="0.25"/>
    <row r="424" ht="12" customHeight="1" x14ac:dyDescent="0.25"/>
    <row r="425" ht="12" customHeight="1" x14ac:dyDescent="0.25"/>
    <row r="426" ht="12" customHeight="1" x14ac:dyDescent="0.25"/>
    <row r="427" ht="12" customHeight="1" x14ac:dyDescent="0.25"/>
    <row r="428" ht="12" customHeight="1" x14ac:dyDescent="0.25"/>
    <row r="429" ht="12" customHeight="1" x14ac:dyDescent="0.25"/>
    <row r="430" ht="12" customHeight="1" x14ac:dyDescent="0.25"/>
    <row r="431" ht="12" customHeight="1" x14ac:dyDescent="0.25"/>
    <row r="432" ht="12" customHeight="1" x14ac:dyDescent="0.25"/>
    <row r="433" ht="12" customHeight="1" x14ac:dyDescent="0.25"/>
    <row r="434" ht="12" customHeight="1" x14ac:dyDescent="0.25"/>
    <row r="435" ht="12" customHeight="1" x14ac:dyDescent="0.25"/>
    <row r="436" ht="12" customHeight="1" x14ac:dyDescent="0.25"/>
    <row r="437" ht="12" customHeight="1" x14ac:dyDescent="0.25"/>
    <row r="438" ht="12" customHeight="1" x14ac:dyDescent="0.25"/>
    <row r="439" ht="12" customHeight="1" x14ac:dyDescent="0.25"/>
    <row r="440" ht="12" customHeight="1" x14ac:dyDescent="0.25"/>
    <row r="441" ht="12" customHeight="1" x14ac:dyDescent="0.25"/>
    <row r="442" ht="12" customHeight="1" x14ac:dyDescent="0.25"/>
    <row r="443" ht="12" customHeight="1" x14ac:dyDescent="0.25"/>
    <row r="444" ht="12" customHeight="1" x14ac:dyDescent="0.25"/>
    <row r="445" ht="12" customHeight="1" x14ac:dyDescent="0.25"/>
    <row r="446" ht="12" customHeight="1" x14ac:dyDescent="0.25"/>
    <row r="447" ht="12" customHeight="1" x14ac:dyDescent="0.25"/>
    <row r="448" ht="12" customHeight="1" x14ac:dyDescent="0.25"/>
    <row r="449" ht="12" customHeight="1" x14ac:dyDescent="0.25"/>
    <row r="450" ht="12" customHeight="1" x14ac:dyDescent="0.25"/>
    <row r="451" ht="12" customHeight="1" x14ac:dyDescent="0.25"/>
    <row r="452" ht="12" customHeight="1" x14ac:dyDescent="0.25"/>
    <row r="453" ht="12" customHeight="1" x14ac:dyDescent="0.25"/>
    <row r="454" ht="12" customHeight="1" x14ac:dyDescent="0.25"/>
    <row r="455" ht="12" customHeight="1" x14ac:dyDescent="0.25"/>
    <row r="456" ht="12" customHeight="1" x14ac:dyDescent="0.25"/>
    <row r="457" ht="12" customHeight="1" x14ac:dyDescent="0.25"/>
    <row r="458" ht="12" customHeight="1" x14ac:dyDescent="0.25"/>
    <row r="459" ht="12" customHeight="1" x14ac:dyDescent="0.25"/>
    <row r="460" ht="12" customHeight="1" x14ac:dyDescent="0.25"/>
    <row r="461" ht="12" customHeight="1" x14ac:dyDescent="0.25"/>
    <row r="462" ht="12" customHeight="1" x14ac:dyDescent="0.25"/>
    <row r="463" ht="12" customHeight="1" x14ac:dyDescent="0.25"/>
    <row r="464" ht="12" customHeight="1" x14ac:dyDescent="0.25"/>
    <row r="465" ht="12" customHeight="1" x14ac:dyDescent="0.25"/>
    <row r="466" ht="12" customHeight="1" x14ac:dyDescent="0.25"/>
    <row r="467" ht="12" customHeight="1" x14ac:dyDescent="0.25"/>
    <row r="468" ht="12" customHeight="1" x14ac:dyDescent="0.25"/>
    <row r="469" ht="12" customHeight="1" x14ac:dyDescent="0.25"/>
    <row r="470" ht="12" customHeight="1" x14ac:dyDescent="0.25"/>
    <row r="471" ht="12" customHeight="1" x14ac:dyDescent="0.25"/>
    <row r="472" ht="12" customHeight="1" x14ac:dyDescent="0.25"/>
    <row r="473" ht="12" customHeight="1" x14ac:dyDescent="0.25"/>
    <row r="474" ht="12" customHeight="1" x14ac:dyDescent="0.25"/>
    <row r="475" ht="12" customHeight="1" x14ac:dyDescent="0.25"/>
    <row r="476" ht="12" customHeight="1" x14ac:dyDescent="0.25"/>
    <row r="477" ht="12" customHeight="1" x14ac:dyDescent="0.25"/>
    <row r="478" ht="12" customHeight="1" x14ac:dyDescent="0.25"/>
    <row r="479" ht="12" customHeight="1" x14ac:dyDescent="0.25"/>
    <row r="480" ht="12" customHeight="1" x14ac:dyDescent="0.25"/>
    <row r="481" ht="12" customHeight="1" x14ac:dyDescent="0.25"/>
    <row r="482" ht="12" customHeight="1" x14ac:dyDescent="0.25"/>
    <row r="483" ht="12" customHeight="1" x14ac:dyDescent="0.25"/>
    <row r="484" ht="12" customHeight="1" x14ac:dyDescent="0.25"/>
    <row r="485" ht="12" customHeight="1" x14ac:dyDescent="0.25"/>
    <row r="486" ht="12" customHeight="1" x14ac:dyDescent="0.25"/>
    <row r="487" ht="12" customHeight="1" x14ac:dyDescent="0.25"/>
    <row r="488" ht="12" customHeight="1" x14ac:dyDescent="0.25"/>
    <row r="489" ht="12" customHeight="1" x14ac:dyDescent="0.25"/>
    <row r="490" ht="12" customHeight="1" x14ac:dyDescent="0.25"/>
    <row r="491" ht="12" customHeight="1" x14ac:dyDescent="0.25"/>
    <row r="492" ht="12" customHeight="1" x14ac:dyDescent="0.25"/>
    <row r="493" ht="12" customHeight="1" x14ac:dyDescent="0.25"/>
    <row r="494" ht="12" customHeight="1" x14ac:dyDescent="0.25"/>
    <row r="495" ht="12" customHeight="1" x14ac:dyDescent="0.25"/>
    <row r="496" ht="12" customHeight="1" x14ac:dyDescent="0.25"/>
    <row r="497" ht="12" customHeight="1" x14ac:dyDescent="0.25"/>
    <row r="498" ht="12" customHeight="1" x14ac:dyDescent="0.25"/>
    <row r="499" ht="12" customHeight="1" x14ac:dyDescent="0.25"/>
    <row r="500" ht="12" customHeight="1" x14ac:dyDescent="0.25"/>
    <row r="501" ht="12" customHeight="1" x14ac:dyDescent="0.25"/>
    <row r="502" ht="12" customHeight="1" x14ac:dyDescent="0.25"/>
    <row r="503" ht="12" customHeight="1" x14ac:dyDescent="0.25"/>
    <row r="504" ht="12" customHeight="1" x14ac:dyDescent="0.25"/>
    <row r="505" ht="12" customHeight="1" x14ac:dyDescent="0.25"/>
    <row r="506" ht="12" customHeight="1" x14ac:dyDescent="0.25"/>
    <row r="507" ht="12" customHeight="1" x14ac:dyDescent="0.25"/>
    <row r="508" ht="12" customHeight="1" x14ac:dyDescent="0.25"/>
    <row r="509" ht="12" customHeight="1" x14ac:dyDescent="0.25"/>
    <row r="510" ht="12" customHeight="1" x14ac:dyDescent="0.25"/>
    <row r="511" ht="12" customHeight="1" x14ac:dyDescent="0.25"/>
    <row r="512" ht="12" customHeight="1" x14ac:dyDescent="0.25"/>
    <row r="513" ht="12" customHeight="1" x14ac:dyDescent="0.25"/>
    <row r="514" ht="12" customHeight="1" x14ac:dyDescent="0.25"/>
    <row r="515" ht="12" customHeight="1" x14ac:dyDescent="0.25"/>
    <row r="516" ht="12" customHeight="1" x14ac:dyDescent="0.25"/>
    <row r="517" ht="12" customHeight="1" x14ac:dyDescent="0.25"/>
    <row r="518" ht="12" customHeight="1" x14ac:dyDescent="0.25"/>
    <row r="519" ht="12" customHeight="1" x14ac:dyDescent="0.25"/>
    <row r="520" ht="12" customHeight="1" x14ac:dyDescent="0.25"/>
    <row r="521" ht="12" customHeight="1" x14ac:dyDescent="0.25"/>
    <row r="522" ht="12" customHeight="1" x14ac:dyDescent="0.25"/>
    <row r="523" ht="12" customHeight="1" x14ac:dyDescent="0.25"/>
    <row r="524" ht="12" customHeight="1" x14ac:dyDescent="0.25"/>
    <row r="525" ht="12" customHeight="1" x14ac:dyDescent="0.25"/>
    <row r="526" ht="12" customHeight="1" x14ac:dyDescent="0.25"/>
    <row r="527" ht="12" customHeight="1" x14ac:dyDescent="0.25"/>
    <row r="528" ht="12" customHeight="1" x14ac:dyDescent="0.25"/>
    <row r="529" ht="12" customHeight="1" x14ac:dyDescent="0.25"/>
    <row r="530" ht="12" customHeight="1" x14ac:dyDescent="0.25"/>
    <row r="531" ht="12" customHeight="1" x14ac:dyDescent="0.25"/>
    <row r="532" ht="12" customHeight="1" x14ac:dyDescent="0.25"/>
    <row r="533" ht="12" customHeight="1" x14ac:dyDescent="0.25"/>
    <row r="534" ht="12" customHeight="1" x14ac:dyDescent="0.25"/>
    <row r="535" ht="12" customHeight="1" x14ac:dyDescent="0.25"/>
    <row r="536" ht="12" customHeight="1" x14ac:dyDescent="0.25"/>
    <row r="537" ht="12" customHeight="1" x14ac:dyDescent="0.25"/>
    <row r="538" ht="12" customHeight="1" x14ac:dyDescent="0.25"/>
    <row r="539" ht="12" customHeight="1" x14ac:dyDescent="0.25"/>
    <row r="540" ht="12" customHeight="1" x14ac:dyDescent="0.25"/>
    <row r="541" ht="12" customHeight="1" x14ac:dyDescent="0.25"/>
    <row r="542" ht="12" customHeight="1" x14ac:dyDescent="0.25"/>
    <row r="543" ht="12" customHeight="1" x14ac:dyDescent="0.25"/>
    <row r="544" ht="12" customHeight="1" x14ac:dyDescent="0.25"/>
    <row r="545" ht="12" customHeight="1" x14ac:dyDescent="0.25"/>
    <row r="546" ht="12" customHeight="1" x14ac:dyDescent="0.25"/>
    <row r="547" ht="12" customHeight="1" x14ac:dyDescent="0.25"/>
    <row r="548" ht="12" customHeight="1" x14ac:dyDescent="0.25"/>
    <row r="549" ht="12" customHeight="1" x14ac:dyDescent="0.25"/>
    <row r="550" ht="12" customHeight="1" x14ac:dyDescent="0.25"/>
    <row r="551" ht="12" customHeight="1" x14ac:dyDescent="0.25"/>
    <row r="552" ht="12" customHeight="1" x14ac:dyDescent="0.25"/>
    <row r="553" ht="12" customHeight="1" x14ac:dyDescent="0.25"/>
    <row r="554" ht="12" customHeight="1" x14ac:dyDescent="0.25"/>
    <row r="555" ht="12" customHeight="1" x14ac:dyDescent="0.25"/>
    <row r="556" ht="12" customHeight="1" x14ac:dyDescent="0.25"/>
    <row r="557" ht="12" customHeight="1" x14ac:dyDescent="0.25"/>
    <row r="558" ht="12" customHeight="1" x14ac:dyDescent="0.25"/>
    <row r="559" ht="12" customHeight="1" x14ac:dyDescent="0.25"/>
    <row r="560" ht="12" customHeight="1" x14ac:dyDescent="0.25"/>
    <row r="561" ht="12" customHeight="1" x14ac:dyDescent="0.25"/>
    <row r="562" ht="12" customHeight="1" x14ac:dyDescent="0.25"/>
    <row r="563" ht="12" customHeight="1" x14ac:dyDescent="0.25"/>
    <row r="564" ht="12" customHeight="1" x14ac:dyDescent="0.25"/>
    <row r="565" ht="12" customHeight="1" x14ac:dyDescent="0.25"/>
    <row r="566" ht="12" customHeight="1" x14ac:dyDescent="0.25"/>
    <row r="567" ht="12" customHeight="1" x14ac:dyDescent="0.25"/>
    <row r="568" ht="12" customHeight="1" x14ac:dyDescent="0.25"/>
    <row r="569" ht="12" customHeight="1" x14ac:dyDescent="0.25"/>
    <row r="570" ht="12" customHeight="1" x14ac:dyDescent="0.25"/>
    <row r="571" ht="12" customHeight="1" x14ac:dyDescent="0.25"/>
    <row r="572" ht="12" customHeight="1" x14ac:dyDescent="0.25"/>
    <row r="573" ht="12" customHeight="1" x14ac:dyDescent="0.25"/>
    <row r="574" ht="12" customHeight="1" x14ac:dyDescent="0.25"/>
    <row r="575" ht="12" customHeight="1" x14ac:dyDescent="0.25"/>
    <row r="576" ht="12" customHeight="1" x14ac:dyDescent="0.25"/>
    <row r="577" ht="12" customHeight="1" x14ac:dyDescent="0.25"/>
    <row r="578" ht="12" customHeight="1" x14ac:dyDescent="0.25"/>
    <row r="579" ht="12" customHeight="1" x14ac:dyDescent="0.25"/>
    <row r="580" ht="12" customHeight="1" x14ac:dyDescent="0.25"/>
    <row r="581" ht="12" customHeight="1" x14ac:dyDescent="0.25"/>
    <row r="582" ht="12" customHeight="1" x14ac:dyDescent="0.25"/>
    <row r="583" ht="12" customHeight="1" x14ac:dyDescent="0.25"/>
    <row r="584" ht="12" customHeight="1" x14ac:dyDescent="0.25"/>
    <row r="585" ht="12" customHeight="1" x14ac:dyDescent="0.25"/>
    <row r="586" ht="12" customHeight="1" x14ac:dyDescent="0.25"/>
    <row r="587" ht="12" customHeight="1" x14ac:dyDescent="0.25"/>
    <row r="588" ht="12" customHeight="1" x14ac:dyDescent="0.25"/>
    <row r="589" ht="12" customHeight="1" x14ac:dyDescent="0.25"/>
    <row r="590" ht="12" customHeight="1" x14ac:dyDescent="0.25"/>
    <row r="591" ht="12" customHeight="1" x14ac:dyDescent="0.25"/>
    <row r="592" ht="12" customHeight="1" x14ac:dyDescent="0.25"/>
    <row r="593" ht="12" customHeight="1" x14ac:dyDescent="0.25"/>
    <row r="594" ht="12" customHeight="1" x14ac:dyDescent="0.25"/>
    <row r="595" ht="12" customHeight="1" x14ac:dyDescent="0.25"/>
    <row r="596" ht="12" customHeight="1" x14ac:dyDescent="0.25"/>
    <row r="597" ht="12" customHeight="1" x14ac:dyDescent="0.25"/>
    <row r="598" ht="12" customHeight="1" x14ac:dyDescent="0.25"/>
    <row r="599" ht="12" customHeight="1" x14ac:dyDescent="0.25"/>
    <row r="600" ht="12" customHeight="1" x14ac:dyDescent="0.25"/>
    <row r="601" ht="12" customHeight="1" x14ac:dyDescent="0.25"/>
    <row r="602" ht="12" customHeight="1" x14ac:dyDescent="0.25"/>
    <row r="603" ht="12" customHeight="1" x14ac:dyDescent="0.25"/>
    <row r="604" ht="12" customHeight="1" x14ac:dyDescent="0.25"/>
    <row r="605" ht="12" customHeight="1" x14ac:dyDescent="0.25"/>
    <row r="606" ht="12" customHeight="1" x14ac:dyDescent="0.25"/>
    <row r="607" ht="12" customHeight="1" x14ac:dyDescent="0.25"/>
    <row r="608" ht="12" customHeight="1" x14ac:dyDescent="0.25"/>
    <row r="609" ht="12" customHeight="1" x14ac:dyDescent="0.25"/>
    <row r="610" ht="12" customHeight="1" x14ac:dyDescent="0.25"/>
    <row r="611" ht="12" customHeight="1" x14ac:dyDescent="0.25"/>
    <row r="612" ht="12" customHeight="1" x14ac:dyDescent="0.25"/>
    <row r="613" ht="12" customHeight="1" x14ac:dyDescent="0.25"/>
    <row r="614" ht="12" customHeight="1" x14ac:dyDescent="0.25"/>
    <row r="615" ht="12" customHeight="1" x14ac:dyDescent="0.25"/>
    <row r="616" ht="12" customHeight="1" x14ac:dyDescent="0.25"/>
    <row r="617" ht="12" customHeight="1" x14ac:dyDescent="0.25"/>
    <row r="618" ht="12" customHeight="1" x14ac:dyDescent="0.25"/>
    <row r="619" ht="12" customHeight="1" x14ac:dyDescent="0.25"/>
    <row r="620" ht="12" customHeight="1" x14ac:dyDescent="0.25"/>
    <row r="621" ht="12" customHeight="1" x14ac:dyDescent="0.25"/>
    <row r="622" ht="12" customHeight="1" x14ac:dyDescent="0.25"/>
    <row r="623" ht="12" customHeight="1" x14ac:dyDescent="0.25"/>
    <row r="624" ht="12" customHeight="1" x14ac:dyDescent="0.25"/>
    <row r="625" ht="12" customHeight="1" x14ac:dyDescent="0.25"/>
    <row r="626" ht="12" customHeight="1" x14ac:dyDescent="0.25"/>
    <row r="627" ht="12" customHeight="1" x14ac:dyDescent="0.25"/>
    <row r="628" ht="12" customHeight="1" x14ac:dyDescent="0.25"/>
    <row r="629" ht="12" customHeight="1" x14ac:dyDescent="0.25"/>
    <row r="630" ht="12" customHeight="1" x14ac:dyDescent="0.25"/>
    <row r="631" ht="12" customHeight="1" x14ac:dyDescent="0.25"/>
    <row r="632" ht="12" customHeight="1" x14ac:dyDescent="0.25"/>
    <row r="633" ht="12" customHeight="1" x14ac:dyDescent="0.25"/>
    <row r="634" ht="12" customHeight="1" x14ac:dyDescent="0.25"/>
    <row r="635" ht="12" customHeight="1" x14ac:dyDescent="0.25"/>
    <row r="636" ht="12" customHeight="1" x14ac:dyDescent="0.25"/>
    <row r="637" ht="12" customHeight="1" x14ac:dyDescent="0.25"/>
    <row r="638" ht="12" customHeight="1" x14ac:dyDescent="0.25"/>
    <row r="639" ht="12" customHeight="1" x14ac:dyDescent="0.25"/>
    <row r="640" ht="12" customHeight="1" x14ac:dyDescent="0.25"/>
    <row r="641" ht="12" customHeight="1" x14ac:dyDescent="0.25"/>
    <row r="642" ht="12" customHeight="1" x14ac:dyDescent="0.25"/>
    <row r="643" ht="12" customHeight="1" x14ac:dyDescent="0.25"/>
    <row r="644" ht="12" customHeight="1" x14ac:dyDescent="0.25"/>
    <row r="645" ht="12" customHeight="1" x14ac:dyDescent="0.25"/>
    <row r="646" ht="12" customHeight="1" x14ac:dyDescent="0.25"/>
    <row r="647" ht="12" customHeight="1" x14ac:dyDescent="0.25"/>
    <row r="648" ht="12" customHeight="1" x14ac:dyDescent="0.25"/>
    <row r="649" ht="12" customHeight="1" x14ac:dyDescent="0.25"/>
    <row r="650" ht="12" customHeight="1" x14ac:dyDescent="0.25"/>
    <row r="651" ht="12" customHeight="1" x14ac:dyDescent="0.25"/>
    <row r="652" ht="12" customHeight="1" x14ac:dyDescent="0.25"/>
    <row r="653" ht="12" customHeight="1" x14ac:dyDescent="0.25"/>
    <row r="654" ht="12" customHeight="1" x14ac:dyDescent="0.25"/>
    <row r="655" ht="12" customHeight="1" x14ac:dyDescent="0.25"/>
    <row r="656" ht="12" customHeight="1" x14ac:dyDescent="0.25"/>
    <row r="657" ht="12" customHeight="1" x14ac:dyDescent="0.25"/>
    <row r="658" ht="12" customHeight="1" x14ac:dyDescent="0.25"/>
    <row r="659" ht="12" customHeight="1" x14ac:dyDescent="0.25"/>
    <row r="660" ht="12" customHeight="1" x14ac:dyDescent="0.25"/>
    <row r="661" ht="12" customHeight="1" x14ac:dyDescent="0.25"/>
    <row r="662" ht="12" customHeight="1" x14ac:dyDescent="0.25"/>
    <row r="663" ht="12" customHeight="1" x14ac:dyDescent="0.25"/>
    <row r="664" ht="12" customHeight="1" x14ac:dyDescent="0.25"/>
    <row r="665" ht="12" customHeight="1" x14ac:dyDescent="0.25"/>
    <row r="666" ht="12" customHeight="1" x14ac:dyDescent="0.25"/>
    <row r="667" ht="12" customHeight="1" x14ac:dyDescent="0.25"/>
    <row r="668" ht="12" customHeight="1" x14ac:dyDescent="0.25"/>
    <row r="669" ht="12" customHeight="1" x14ac:dyDescent="0.25"/>
    <row r="670" ht="12" customHeight="1" x14ac:dyDescent="0.25"/>
    <row r="671" ht="12" customHeight="1" x14ac:dyDescent="0.25"/>
    <row r="672" ht="12" customHeight="1" x14ac:dyDescent="0.25"/>
    <row r="673" ht="12" customHeight="1" x14ac:dyDescent="0.25"/>
    <row r="674" ht="12" customHeight="1" x14ac:dyDescent="0.25"/>
    <row r="675" ht="12" customHeight="1" x14ac:dyDescent="0.25"/>
    <row r="676" ht="12" customHeight="1" x14ac:dyDescent="0.25"/>
    <row r="677" ht="12" customHeight="1" x14ac:dyDescent="0.25"/>
    <row r="678" ht="12" customHeight="1" x14ac:dyDescent="0.25"/>
    <row r="679" ht="12" customHeight="1" x14ac:dyDescent="0.25"/>
    <row r="680" ht="12" customHeight="1" x14ac:dyDescent="0.25"/>
    <row r="681" ht="12" customHeight="1" x14ac:dyDescent="0.25"/>
    <row r="682" ht="12" customHeight="1" x14ac:dyDescent="0.25"/>
    <row r="683" ht="12" customHeight="1" x14ac:dyDescent="0.25"/>
    <row r="684" ht="12" customHeight="1" x14ac:dyDescent="0.25"/>
    <row r="685" ht="12" customHeight="1" x14ac:dyDescent="0.25"/>
    <row r="686" ht="12" customHeight="1" x14ac:dyDescent="0.25"/>
    <row r="687" ht="12" customHeight="1" x14ac:dyDescent="0.25"/>
    <row r="688" ht="12" customHeight="1" x14ac:dyDescent="0.25"/>
    <row r="689" ht="12" customHeight="1" x14ac:dyDescent="0.25"/>
    <row r="690" ht="12" customHeight="1" x14ac:dyDescent="0.25"/>
    <row r="691" ht="12" customHeight="1" x14ac:dyDescent="0.25"/>
    <row r="692" ht="12" customHeight="1" x14ac:dyDescent="0.25"/>
    <row r="693" ht="12" customHeight="1" x14ac:dyDescent="0.25"/>
    <row r="694" ht="12" customHeight="1" x14ac:dyDescent="0.25"/>
    <row r="695" ht="12" customHeight="1" x14ac:dyDescent="0.25"/>
    <row r="696" ht="12" customHeight="1" x14ac:dyDescent="0.25"/>
    <row r="697" ht="12" customHeight="1" x14ac:dyDescent="0.25"/>
    <row r="698" ht="12" customHeight="1" x14ac:dyDescent="0.25"/>
    <row r="699" ht="12" customHeight="1" x14ac:dyDescent="0.25"/>
    <row r="700" ht="12" customHeight="1" x14ac:dyDescent="0.25"/>
    <row r="701" ht="12" customHeight="1" x14ac:dyDescent="0.25"/>
    <row r="702" ht="12" customHeight="1" x14ac:dyDescent="0.25"/>
    <row r="703" ht="12" customHeight="1" x14ac:dyDescent="0.25"/>
    <row r="704" ht="12" customHeight="1" x14ac:dyDescent="0.25"/>
    <row r="705" ht="12" customHeight="1" x14ac:dyDescent="0.25"/>
    <row r="706" ht="12" customHeight="1" x14ac:dyDescent="0.25"/>
    <row r="707" ht="12" customHeight="1" x14ac:dyDescent="0.25"/>
    <row r="708" ht="12" customHeight="1" x14ac:dyDescent="0.25"/>
    <row r="709" ht="12" customHeight="1" x14ac:dyDescent="0.25"/>
    <row r="710" ht="12" customHeight="1" x14ac:dyDescent="0.25"/>
    <row r="711" ht="12" customHeight="1" x14ac:dyDescent="0.25"/>
    <row r="712" ht="12" customHeight="1" x14ac:dyDescent="0.25"/>
    <row r="713" ht="12" customHeight="1" x14ac:dyDescent="0.25"/>
    <row r="714" ht="12" customHeight="1" x14ac:dyDescent="0.25"/>
    <row r="715" ht="12" customHeight="1" x14ac:dyDescent="0.25"/>
    <row r="716" ht="12" customHeight="1" x14ac:dyDescent="0.25"/>
    <row r="717" ht="12" customHeight="1" x14ac:dyDescent="0.25"/>
    <row r="718" ht="12" customHeight="1" x14ac:dyDescent="0.25"/>
    <row r="719" ht="12" customHeight="1" x14ac:dyDescent="0.25"/>
    <row r="720" ht="12" customHeight="1" x14ac:dyDescent="0.25"/>
    <row r="721" ht="12" customHeight="1" x14ac:dyDescent="0.25"/>
    <row r="722" ht="12" customHeight="1" x14ac:dyDescent="0.25"/>
    <row r="723" ht="12" customHeight="1" x14ac:dyDescent="0.25"/>
    <row r="724" ht="12" customHeight="1" x14ac:dyDescent="0.25"/>
    <row r="725" ht="12" customHeight="1" x14ac:dyDescent="0.25"/>
    <row r="726" ht="12" customHeight="1" x14ac:dyDescent="0.25"/>
    <row r="727" ht="12" customHeight="1" x14ac:dyDescent="0.25"/>
    <row r="728" ht="12" customHeight="1" x14ac:dyDescent="0.25"/>
    <row r="729" ht="12" customHeight="1" x14ac:dyDescent="0.25"/>
    <row r="730" ht="12" customHeight="1" x14ac:dyDescent="0.25"/>
    <row r="731" ht="12" customHeight="1" x14ac:dyDescent="0.25"/>
    <row r="732" ht="12" customHeight="1" x14ac:dyDescent="0.25"/>
    <row r="733" ht="12" customHeight="1" x14ac:dyDescent="0.25"/>
    <row r="734" ht="12" customHeight="1" x14ac:dyDescent="0.25"/>
    <row r="735" ht="12" customHeight="1" x14ac:dyDescent="0.25"/>
    <row r="736" ht="12" customHeight="1" x14ac:dyDescent="0.25"/>
    <row r="737" ht="12" customHeight="1" x14ac:dyDescent="0.25"/>
    <row r="738" ht="12" customHeight="1" x14ac:dyDescent="0.25"/>
    <row r="739" ht="12" customHeight="1" x14ac:dyDescent="0.25"/>
    <row r="740" ht="12" customHeight="1" x14ac:dyDescent="0.25"/>
    <row r="741" ht="12" customHeight="1" x14ac:dyDescent="0.25"/>
    <row r="742" ht="12" customHeight="1" x14ac:dyDescent="0.25"/>
    <row r="743" ht="12" customHeight="1" x14ac:dyDescent="0.25"/>
    <row r="744" ht="12" customHeight="1" x14ac:dyDescent="0.25"/>
    <row r="745" ht="12" customHeight="1" x14ac:dyDescent="0.25"/>
    <row r="746" ht="12" customHeight="1" x14ac:dyDescent="0.25"/>
    <row r="747" ht="12" customHeight="1" x14ac:dyDescent="0.25"/>
    <row r="748" ht="12" customHeight="1" x14ac:dyDescent="0.25"/>
    <row r="749" ht="12" customHeight="1" x14ac:dyDescent="0.25"/>
    <row r="750" ht="12" customHeight="1" x14ac:dyDescent="0.25"/>
    <row r="751" ht="12" customHeight="1" x14ac:dyDescent="0.25"/>
    <row r="752" ht="12" customHeight="1" x14ac:dyDescent="0.25"/>
    <row r="753" ht="12" customHeight="1" x14ac:dyDescent="0.25"/>
    <row r="754" ht="12" customHeight="1" x14ac:dyDescent="0.25"/>
    <row r="755" ht="12" customHeight="1" x14ac:dyDescent="0.25"/>
    <row r="756" ht="12" customHeight="1" x14ac:dyDescent="0.25"/>
    <row r="757" ht="12" customHeight="1" x14ac:dyDescent="0.25"/>
    <row r="758" ht="12" customHeight="1" x14ac:dyDescent="0.25"/>
    <row r="759" ht="12" customHeight="1" x14ac:dyDescent="0.25"/>
    <row r="760" ht="12" customHeight="1" x14ac:dyDescent="0.25"/>
    <row r="761" ht="12" customHeight="1" x14ac:dyDescent="0.25"/>
    <row r="762" ht="12" customHeight="1" x14ac:dyDescent="0.25"/>
    <row r="763" ht="12" customHeight="1" x14ac:dyDescent="0.25"/>
    <row r="764" ht="12" customHeight="1" x14ac:dyDescent="0.25"/>
    <row r="765" ht="12" customHeight="1" x14ac:dyDescent="0.25"/>
    <row r="766" ht="12" customHeight="1" x14ac:dyDescent="0.25"/>
    <row r="767" ht="12" customHeight="1" x14ac:dyDescent="0.25"/>
    <row r="768" ht="12" customHeight="1" x14ac:dyDescent="0.25"/>
    <row r="769" ht="12" customHeight="1" x14ac:dyDescent="0.25"/>
    <row r="770" ht="12" customHeight="1" x14ac:dyDescent="0.25"/>
    <row r="771" ht="12" customHeight="1" x14ac:dyDescent="0.25"/>
    <row r="772" ht="12" customHeight="1" x14ac:dyDescent="0.25"/>
    <row r="773" ht="12" customHeight="1" x14ac:dyDescent="0.25"/>
    <row r="774" ht="12" customHeight="1" x14ac:dyDescent="0.25"/>
    <row r="775" ht="12" customHeight="1" x14ac:dyDescent="0.25"/>
    <row r="776" ht="12" customHeight="1" x14ac:dyDescent="0.25"/>
    <row r="777" ht="12" customHeight="1" x14ac:dyDescent="0.25"/>
    <row r="778" ht="12" customHeight="1" x14ac:dyDescent="0.25"/>
    <row r="779" ht="12" customHeight="1" x14ac:dyDescent="0.25"/>
    <row r="780" ht="12" customHeight="1" x14ac:dyDescent="0.25"/>
    <row r="781" ht="12" customHeight="1" x14ac:dyDescent="0.25"/>
    <row r="782" ht="12" customHeight="1" x14ac:dyDescent="0.25"/>
    <row r="783" ht="12" customHeight="1" x14ac:dyDescent="0.25"/>
    <row r="784" ht="12" customHeight="1" x14ac:dyDescent="0.25"/>
    <row r="785" ht="12" customHeight="1" x14ac:dyDescent="0.25"/>
    <row r="786" ht="12" customHeight="1" x14ac:dyDescent="0.25"/>
    <row r="787" ht="12" customHeight="1" x14ac:dyDescent="0.25"/>
    <row r="788" ht="12" customHeight="1" x14ac:dyDescent="0.25"/>
    <row r="789" ht="12" customHeight="1" x14ac:dyDescent="0.25"/>
    <row r="790" ht="12" customHeight="1" x14ac:dyDescent="0.25"/>
    <row r="791" ht="12" customHeight="1" x14ac:dyDescent="0.25"/>
    <row r="792" ht="12" customHeight="1" x14ac:dyDescent="0.25"/>
    <row r="793" ht="12" customHeight="1" x14ac:dyDescent="0.25"/>
    <row r="794" ht="12" customHeight="1" x14ac:dyDescent="0.25"/>
    <row r="795" ht="12" customHeight="1" x14ac:dyDescent="0.25"/>
    <row r="796" ht="12" customHeight="1" x14ac:dyDescent="0.25"/>
    <row r="797" ht="12" customHeight="1" x14ac:dyDescent="0.25"/>
    <row r="798" ht="12" customHeight="1" x14ac:dyDescent="0.25"/>
    <row r="799" ht="12" customHeight="1" x14ac:dyDescent="0.25"/>
    <row r="800" ht="12" customHeight="1" x14ac:dyDescent="0.25"/>
    <row r="801" ht="12" customHeight="1" x14ac:dyDescent="0.25"/>
    <row r="802" ht="12" customHeight="1" x14ac:dyDescent="0.25"/>
    <row r="803" ht="12" customHeight="1" x14ac:dyDescent="0.25"/>
    <row r="804" ht="12" customHeight="1" x14ac:dyDescent="0.25"/>
    <row r="805" ht="12" customHeight="1" x14ac:dyDescent="0.25"/>
    <row r="806" ht="12" customHeight="1" x14ac:dyDescent="0.25"/>
    <row r="807" ht="12" customHeight="1" x14ac:dyDescent="0.25"/>
    <row r="808" ht="12" customHeight="1" x14ac:dyDescent="0.25"/>
    <row r="809" ht="12" customHeight="1" x14ac:dyDescent="0.25"/>
    <row r="810" ht="12" customHeight="1" x14ac:dyDescent="0.25"/>
    <row r="811" ht="12" customHeight="1" x14ac:dyDescent="0.25"/>
    <row r="812" ht="12" customHeight="1" x14ac:dyDescent="0.25"/>
    <row r="813" ht="12" customHeight="1" x14ac:dyDescent="0.25"/>
    <row r="814" ht="12" customHeight="1" x14ac:dyDescent="0.25"/>
    <row r="815" ht="12" customHeight="1" x14ac:dyDescent="0.25"/>
    <row r="816" ht="12" customHeight="1" x14ac:dyDescent="0.25"/>
    <row r="817" ht="12" customHeight="1" x14ac:dyDescent="0.25"/>
    <row r="818" ht="12" customHeight="1" x14ac:dyDescent="0.25"/>
    <row r="819" ht="12" customHeight="1" x14ac:dyDescent="0.25"/>
    <row r="820" ht="12" customHeight="1" x14ac:dyDescent="0.25"/>
    <row r="821" ht="12" customHeight="1" x14ac:dyDescent="0.25"/>
    <row r="822" ht="12" customHeight="1" x14ac:dyDescent="0.25"/>
    <row r="823" ht="12" customHeight="1" x14ac:dyDescent="0.25"/>
    <row r="824" ht="12" customHeight="1" x14ac:dyDescent="0.25"/>
    <row r="825" ht="12" customHeight="1" x14ac:dyDescent="0.25"/>
    <row r="826" ht="12" customHeight="1" x14ac:dyDescent="0.25"/>
    <row r="827" ht="12" customHeight="1" x14ac:dyDescent="0.25"/>
    <row r="828" ht="12" customHeight="1" x14ac:dyDescent="0.25"/>
    <row r="829" ht="12" customHeight="1" x14ac:dyDescent="0.25"/>
    <row r="830" ht="12" customHeight="1" x14ac:dyDescent="0.25"/>
    <row r="831" ht="12" customHeight="1" x14ac:dyDescent="0.25"/>
    <row r="832" ht="12" customHeight="1" x14ac:dyDescent="0.25"/>
    <row r="833" ht="12" customHeight="1" x14ac:dyDescent="0.25"/>
    <row r="834" ht="12" customHeight="1" x14ac:dyDescent="0.25"/>
    <row r="835" ht="12" customHeight="1" x14ac:dyDescent="0.25"/>
    <row r="836" ht="12" customHeight="1" x14ac:dyDescent="0.25"/>
    <row r="837" ht="12" customHeight="1" x14ac:dyDescent="0.25"/>
    <row r="838" ht="12" customHeight="1" x14ac:dyDescent="0.25"/>
    <row r="839" ht="12" customHeight="1" x14ac:dyDescent="0.25"/>
    <row r="840" ht="12" customHeight="1" x14ac:dyDescent="0.25"/>
    <row r="841" ht="12" customHeight="1" x14ac:dyDescent="0.25"/>
    <row r="842" ht="12" customHeight="1" x14ac:dyDescent="0.25"/>
    <row r="843" ht="12" customHeight="1" x14ac:dyDescent="0.25"/>
    <row r="844" ht="12" customHeight="1" x14ac:dyDescent="0.25"/>
    <row r="845" ht="12" customHeight="1" x14ac:dyDescent="0.25"/>
    <row r="846" ht="12" customHeight="1" x14ac:dyDescent="0.25"/>
    <row r="847" ht="12" customHeight="1" x14ac:dyDescent="0.25"/>
    <row r="848" ht="12" customHeight="1" x14ac:dyDescent="0.25"/>
    <row r="849" ht="12" customHeight="1" x14ac:dyDescent="0.25"/>
    <row r="850" ht="12" customHeight="1" x14ac:dyDescent="0.25"/>
    <row r="851" ht="12" customHeight="1" x14ac:dyDescent="0.25"/>
    <row r="852" ht="12" customHeight="1" x14ac:dyDescent="0.25"/>
    <row r="853" ht="12" customHeight="1" x14ac:dyDescent="0.25"/>
    <row r="854" ht="12" customHeight="1" x14ac:dyDescent="0.25"/>
    <row r="855" ht="12" customHeight="1" x14ac:dyDescent="0.25"/>
    <row r="856" ht="12" customHeight="1" x14ac:dyDescent="0.25"/>
    <row r="857" ht="12" customHeight="1" x14ac:dyDescent="0.25"/>
    <row r="858" ht="12" customHeight="1" x14ac:dyDescent="0.25"/>
    <row r="859" ht="12" customHeight="1" x14ac:dyDescent="0.25"/>
    <row r="860" ht="12" customHeight="1" x14ac:dyDescent="0.25"/>
    <row r="861" ht="12" customHeight="1" x14ac:dyDescent="0.25"/>
    <row r="862" ht="12" customHeight="1" x14ac:dyDescent="0.25"/>
    <row r="863" ht="12" customHeight="1" x14ac:dyDescent="0.25"/>
    <row r="864" ht="12" customHeight="1" x14ac:dyDescent="0.25"/>
    <row r="865" ht="12" customHeight="1" x14ac:dyDescent="0.25"/>
    <row r="866" ht="12" customHeight="1" x14ac:dyDescent="0.25"/>
    <row r="867" ht="12" customHeight="1" x14ac:dyDescent="0.25"/>
    <row r="868" ht="12" customHeight="1" x14ac:dyDescent="0.25"/>
    <row r="869" ht="12" customHeight="1" x14ac:dyDescent="0.25"/>
    <row r="870" ht="12" customHeight="1" x14ac:dyDescent="0.25"/>
    <row r="871" ht="12" customHeight="1" x14ac:dyDescent="0.25"/>
    <row r="872" ht="12" customHeight="1" x14ac:dyDescent="0.25"/>
    <row r="873" ht="12" customHeight="1" x14ac:dyDescent="0.25"/>
    <row r="874" ht="12" customHeight="1" x14ac:dyDescent="0.25"/>
    <row r="875" ht="12" customHeight="1" x14ac:dyDescent="0.25"/>
    <row r="876" ht="12" customHeight="1" x14ac:dyDescent="0.25"/>
    <row r="877" ht="12" customHeight="1" x14ac:dyDescent="0.25"/>
    <row r="878" ht="12" customHeight="1" x14ac:dyDescent="0.25"/>
    <row r="879" ht="12" customHeight="1" x14ac:dyDescent="0.25"/>
    <row r="880" ht="12" customHeight="1" x14ac:dyDescent="0.25"/>
    <row r="881" ht="12" customHeight="1" x14ac:dyDescent="0.25"/>
    <row r="882" ht="12" customHeight="1" x14ac:dyDescent="0.25"/>
    <row r="883" ht="12" customHeight="1" x14ac:dyDescent="0.25"/>
    <row r="884" ht="12" customHeight="1" x14ac:dyDescent="0.25"/>
    <row r="885" ht="12" customHeight="1" x14ac:dyDescent="0.25"/>
    <row r="886" ht="12" customHeight="1" x14ac:dyDescent="0.25"/>
    <row r="887" ht="12" customHeight="1" x14ac:dyDescent="0.25"/>
    <row r="888" ht="12" customHeight="1" x14ac:dyDescent="0.25"/>
    <row r="889" ht="12" customHeight="1" x14ac:dyDescent="0.25"/>
    <row r="890" ht="12" customHeight="1" x14ac:dyDescent="0.25"/>
    <row r="891" ht="12" customHeight="1" x14ac:dyDescent="0.25"/>
    <row r="892" ht="12" customHeight="1" x14ac:dyDescent="0.25"/>
    <row r="893" ht="12" customHeight="1" x14ac:dyDescent="0.25"/>
    <row r="894" ht="12" customHeight="1" x14ac:dyDescent="0.25"/>
    <row r="895" ht="12" customHeight="1" x14ac:dyDescent="0.25"/>
    <row r="896" ht="12" customHeight="1" x14ac:dyDescent="0.25"/>
    <row r="897" ht="12" customHeight="1" x14ac:dyDescent="0.25"/>
    <row r="898" ht="12" customHeight="1" x14ac:dyDescent="0.25"/>
    <row r="899" ht="12" customHeight="1" x14ac:dyDescent="0.25"/>
    <row r="900" ht="12" customHeight="1" x14ac:dyDescent="0.25"/>
    <row r="901" ht="12" customHeight="1" x14ac:dyDescent="0.25"/>
    <row r="902" ht="12" customHeight="1" x14ac:dyDescent="0.25"/>
    <row r="903" ht="12" customHeight="1" x14ac:dyDescent="0.25"/>
    <row r="904" ht="12" customHeight="1" x14ac:dyDescent="0.25"/>
    <row r="905" ht="12" customHeight="1" x14ac:dyDescent="0.25"/>
    <row r="906" ht="12" customHeight="1" x14ac:dyDescent="0.25"/>
    <row r="907" ht="12" customHeight="1" x14ac:dyDescent="0.25"/>
    <row r="908" ht="12" customHeight="1" x14ac:dyDescent="0.25"/>
    <row r="909" ht="12" customHeight="1" x14ac:dyDescent="0.25"/>
    <row r="910" ht="12" customHeight="1" x14ac:dyDescent="0.25"/>
    <row r="911" ht="12" customHeight="1" x14ac:dyDescent="0.25"/>
    <row r="912" ht="12" customHeight="1" x14ac:dyDescent="0.25"/>
    <row r="913" ht="12" customHeight="1" x14ac:dyDescent="0.25"/>
    <row r="914" ht="12" customHeight="1" x14ac:dyDescent="0.25"/>
    <row r="915" ht="12" customHeight="1" x14ac:dyDescent="0.25"/>
    <row r="916" ht="12" customHeight="1" x14ac:dyDescent="0.25"/>
    <row r="917" ht="12" customHeight="1" x14ac:dyDescent="0.25"/>
    <row r="918" ht="12" customHeight="1" x14ac:dyDescent="0.25"/>
    <row r="919" ht="12" customHeight="1" x14ac:dyDescent="0.25"/>
    <row r="920" ht="12" customHeight="1" x14ac:dyDescent="0.25"/>
    <row r="921" ht="12" customHeight="1" x14ac:dyDescent="0.25"/>
    <row r="922" ht="12" customHeight="1" x14ac:dyDescent="0.25"/>
    <row r="923" ht="12" customHeight="1" x14ac:dyDescent="0.25"/>
    <row r="924" ht="12" customHeight="1" x14ac:dyDescent="0.25"/>
    <row r="925" ht="12" customHeight="1" x14ac:dyDescent="0.25"/>
    <row r="926" ht="12" customHeight="1" x14ac:dyDescent="0.25"/>
    <row r="927" ht="12" customHeight="1" x14ac:dyDescent="0.25"/>
    <row r="928" ht="12" customHeight="1" x14ac:dyDescent="0.25"/>
    <row r="929" ht="12" customHeight="1" x14ac:dyDescent="0.25"/>
    <row r="930" ht="12" customHeight="1" x14ac:dyDescent="0.25"/>
    <row r="931" ht="12" customHeight="1" x14ac:dyDescent="0.25"/>
    <row r="932" ht="12" customHeight="1" x14ac:dyDescent="0.25"/>
    <row r="933" ht="12" customHeight="1" x14ac:dyDescent="0.25"/>
    <row r="934" ht="12" customHeight="1" x14ac:dyDescent="0.25"/>
    <row r="935" ht="12" customHeight="1" x14ac:dyDescent="0.25"/>
    <row r="936" ht="12" customHeight="1" x14ac:dyDescent="0.25"/>
    <row r="937" ht="12" customHeight="1" x14ac:dyDescent="0.25"/>
    <row r="938" ht="12" customHeight="1" x14ac:dyDescent="0.25"/>
    <row r="939" ht="12" customHeight="1" x14ac:dyDescent="0.25"/>
    <row r="940" ht="12" customHeight="1" x14ac:dyDescent="0.25"/>
    <row r="941" ht="12" customHeight="1" x14ac:dyDescent="0.25"/>
    <row r="942" ht="12" customHeight="1" x14ac:dyDescent="0.25"/>
    <row r="943" ht="12" customHeight="1" x14ac:dyDescent="0.25"/>
    <row r="944" ht="12" customHeight="1" x14ac:dyDescent="0.25"/>
    <row r="945" ht="12" customHeight="1" x14ac:dyDescent="0.25"/>
    <row r="946" ht="12" customHeight="1" x14ac:dyDescent="0.25"/>
    <row r="947" ht="12" customHeight="1" x14ac:dyDescent="0.25"/>
    <row r="948" ht="12" customHeight="1" x14ac:dyDescent="0.25"/>
    <row r="949" ht="12" customHeight="1" x14ac:dyDescent="0.25"/>
    <row r="950" ht="12" customHeight="1" x14ac:dyDescent="0.25"/>
    <row r="951" ht="12" customHeight="1" x14ac:dyDescent="0.25"/>
    <row r="952" ht="12" customHeight="1" x14ac:dyDescent="0.25"/>
    <row r="953" ht="12" customHeight="1" x14ac:dyDescent="0.25"/>
    <row r="954" ht="12" customHeight="1" x14ac:dyDescent="0.25"/>
    <row r="955" ht="12" customHeight="1" x14ac:dyDescent="0.25"/>
    <row r="956" ht="12" customHeight="1" x14ac:dyDescent="0.25"/>
    <row r="957" ht="12" customHeight="1" x14ac:dyDescent="0.25"/>
    <row r="958" ht="12" customHeight="1" x14ac:dyDescent="0.25"/>
    <row r="959" ht="12" customHeight="1" x14ac:dyDescent="0.25"/>
    <row r="960" ht="12" customHeight="1" x14ac:dyDescent="0.25"/>
    <row r="961" ht="12" customHeight="1" x14ac:dyDescent="0.25"/>
    <row r="962" ht="12" customHeight="1" x14ac:dyDescent="0.25"/>
    <row r="963" ht="12" customHeight="1" x14ac:dyDescent="0.25"/>
    <row r="964" ht="12" customHeight="1" x14ac:dyDescent="0.25"/>
    <row r="965" ht="12" customHeight="1" x14ac:dyDescent="0.25"/>
    <row r="966" ht="12" customHeight="1" x14ac:dyDescent="0.25"/>
    <row r="967" ht="12" customHeight="1" x14ac:dyDescent="0.25"/>
    <row r="968" ht="12" customHeight="1" x14ac:dyDescent="0.25"/>
    <row r="969" ht="12" customHeight="1" x14ac:dyDescent="0.25"/>
    <row r="970" ht="12" customHeight="1" x14ac:dyDescent="0.25"/>
    <row r="971" ht="12" customHeight="1" x14ac:dyDescent="0.25"/>
    <row r="972" ht="12" customHeight="1" x14ac:dyDescent="0.25"/>
    <row r="973" ht="12" customHeight="1" x14ac:dyDescent="0.25"/>
    <row r="974" ht="12" customHeight="1" x14ac:dyDescent="0.25"/>
    <row r="975" ht="12" customHeight="1" x14ac:dyDescent="0.25"/>
    <row r="976" ht="12" customHeight="1" x14ac:dyDescent="0.25"/>
    <row r="977" ht="12" customHeight="1" x14ac:dyDescent="0.25"/>
    <row r="978" ht="12" customHeight="1" x14ac:dyDescent="0.25"/>
    <row r="979" ht="12" customHeight="1" x14ac:dyDescent="0.25"/>
    <row r="980" ht="12" customHeight="1" x14ac:dyDescent="0.25"/>
    <row r="981" ht="12" customHeight="1" x14ac:dyDescent="0.25"/>
    <row r="982" ht="12" customHeight="1" x14ac:dyDescent="0.25"/>
    <row r="983" ht="12" customHeight="1" x14ac:dyDescent="0.25"/>
    <row r="984" ht="12" customHeight="1" x14ac:dyDescent="0.25"/>
    <row r="985" ht="12" customHeight="1" x14ac:dyDescent="0.25"/>
    <row r="986" ht="12" customHeight="1" x14ac:dyDescent="0.25"/>
    <row r="987" ht="12" customHeight="1" x14ac:dyDescent="0.25"/>
    <row r="988" ht="12" customHeight="1" x14ac:dyDescent="0.25"/>
    <row r="989" ht="12" customHeight="1" x14ac:dyDescent="0.25"/>
    <row r="990" ht="12" customHeight="1" x14ac:dyDescent="0.25"/>
    <row r="991" ht="12" customHeight="1" x14ac:dyDescent="0.25"/>
    <row r="992" ht="12" customHeight="1" x14ac:dyDescent="0.25"/>
    <row r="993" ht="12" customHeight="1" x14ac:dyDescent="0.25"/>
    <row r="994" ht="12" customHeight="1" x14ac:dyDescent="0.25"/>
    <row r="995" ht="12" customHeight="1" x14ac:dyDescent="0.25"/>
    <row r="996" ht="12" customHeight="1" x14ac:dyDescent="0.25"/>
    <row r="997" ht="12" customHeight="1" x14ac:dyDescent="0.25"/>
    <row r="998" ht="12" customHeight="1" x14ac:dyDescent="0.25"/>
    <row r="999" ht="12" customHeight="1" x14ac:dyDescent="0.25"/>
    <row r="1000" ht="12" customHeight="1" x14ac:dyDescent="0.25"/>
  </sheetData>
  <pageMargins left="0.7" right="0.7" top="0.75" bottom="0.75" header="0" footer="0"/>
  <pageSetup orientation="landscape"/>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N1000"/>
  <sheetViews>
    <sheetView workbookViewId="0"/>
  </sheetViews>
  <sheetFormatPr baseColWidth="10" defaultColWidth="12.6328125" defaultRowHeight="15" customHeight="1" x14ac:dyDescent="0.25"/>
  <cols>
    <col min="1" max="1" width="19.453125" customWidth="1"/>
    <col min="2" max="3" width="6" customWidth="1"/>
    <col min="4" max="4" width="11" customWidth="1"/>
    <col min="5" max="5" width="13.08984375" customWidth="1"/>
    <col min="6" max="6" width="14" customWidth="1"/>
    <col min="7" max="8" width="6" customWidth="1"/>
    <col min="9" max="9" width="10.08984375" customWidth="1"/>
    <col min="10" max="10" width="6" customWidth="1"/>
    <col min="11" max="12" width="5.36328125" customWidth="1"/>
    <col min="13" max="13" width="11" customWidth="1"/>
    <col min="14" max="14" width="13.08984375" customWidth="1"/>
    <col min="15" max="26" width="10.6328125" customWidth="1"/>
  </cols>
  <sheetData>
    <row r="1" spans="1:14" ht="12" customHeight="1" x14ac:dyDescent="0.25">
      <c r="A1" s="24" t="s">
        <v>39</v>
      </c>
      <c r="B1" s="25">
        <v>1</v>
      </c>
      <c r="C1" s="23"/>
      <c r="D1" s="23"/>
      <c r="E1" s="23"/>
      <c r="F1" s="23"/>
      <c r="G1" s="23"/>
      <c r="H1" s="23"/>
      <c r="I1" s="23"/>
      <c r="J1" s="23"/>
      <c r="K1" s="23"/>
      <c r="L1" s="23"/>
      <c r="M1" s="23"/>
      <c r="N1" s="23"/>
    </row>
    <row r="2" spans="1:14" ht="12" customHeight="1" x14ac:dyDescent="0.25">
      <c r="A2" s="26" t="s">
        <v>40</v>
      </c>
      <c r="B2" s="26">
        <f>1.15*(1+B4)</f>
        <v>1.242</v>
      </c>
      <c r="C2" s="23"/>
      <c r="D2" s="23"/>
      <c r="E2" s="23"/>
      <c r="F2" s="23"/>
      <c r="G2" s="23"/>
      <c r="H2" s="23"/>
      <c r="I2" s="23"/>
      <c r="J2" s="23"/>
      <c r="K2" s="23"/>
      <c r="L2" s="23"/>
      <c r="M2" s="23"/>
      <c r="N2" s="23"/>
    </row>
    <row r="3" spans="1:14" ht="12" customHeight="1" x14ac:dyDescent="0.25">
      <c r="A3" s="27" t="s">
        <v>41</v>
      </c>
      <c r="B3" s="28">
        <v>0.13400000000000001</v>
      </c>
      <c r="C3" s="23"/>
      <c r="D3" s="23"/>
      <c r="E3" s="23"/>
      <c r="F3" s="23"/>
      <c r="G3" s="23"/>
      <c r="H3" s="23"/>
      <c r="I3" s="23"/>
      <c r="J3" s="23"/>
      <c r="K3" s="23"/>
      <c r="L3" s="23"/>
      <c r="M3" s="23"/>
      <c r="N3" s="23"/>
    </row>
    <row r="4" spans="1:14" ht="12" customHeight="1" x14ac:dyDescent="0.25">
      <c r="A4" s="27" t="s">
        <v>42</v>
      </c>
      <c r="B4" s="28">
        <v>0.08</v>
      </c>
      <c r="C4" s="23"/>
      <c r="D4" s="23"/>
      <c r="E4" s="23"/>
      <c r="F4" s="23"/>
      <c r="G4" s="23"/>
      <c r="H4" s="23"/>
      <c r="I4" s="23"/>
      <c r="J4" s="23"/>
      <c r="K4" s="23"/>
      <c r="L4" s="23"/>
      <c r="M4" s="23"/>
      <c r="N4" s="23"/>
    </row>
    <row r="5" spans="1:14" ht="12" customHeight="1" x14ac:dyDescent="0.25">
      <c r="A5" s="29" t="s">
        <v>43</v>
      </c>
      <c r="B5" s="30">
        <f>B2/(B3-B4)</f>
        <v>22.999999999999996</v>
      </c>
      <c r="C5" s="23"/>
      <c r="D5" s="23"/>
      <c r="E5" s="23"/>
      <c r="F5" s="23"/>
      <c r="G5" s="23"/>
      <c r="H5" s="23"/>
      <c r="I5" s="23"/>
      <c r="J5" s="23"/>
      <c r="K5" s="23"/>
      <c r="L5" s="23"/>
      <c r="M5" s="23"/>
      <c r="N5" s="23"/>
    </row>
    <row r="6" spans="1:14" ht="12" customHeight="1" x14ac:dyDescent="0.25">
      <c r="A6" s="24" t="s">
        <v>44</v>
      </c>
      <c r="B6" s="23"/>
      <c r="C6" s="23"/>
      <c r="D6" s="23"/>
      <c r="E6" s="23"/>
      <c r="F6" s="23"/>
      <c r="G6" s="23"/>
      <c r="H6" s="23"/>
      <c r="I6" s="23"/>
      <c r="J6" s="23"/>
      <c r="K6" s="23"/>
      <c r="L6" s="23"/>
      <c r="M6" s="23"/>
      <c r="N6" s="23"/>
    </row>
    <row r="7" spans="1:14" ht="12" customHeight="1" x14ac:dyDescent="0.25">
      <c r="A7" s="24" t="s">
        <v>45</v>
      </c>
      <c r="B7" s="31">
        <v>0.1</v>
      </c>
      <c r="C7" s="23"/>
      <c r="D7" s="23" t="s">
        <v>46</v>
      </c>
      <c r="E7" s="23" t="s">
        <v>47</v>
      </c>
      <c r="F7" s="24" t="s">
        <v>45</v>
      </c>
      <c r="G7" s="31">
        <v>0.1</v>
      </c>
      <c r="H7" s="23"/>
      <c r="I7" s="23" t="s">
        <v>48</v>
      </c>
      <c r="J7" s="23"/>
      <c r="K7" s="23"/>
      <c r="L7" s="23"/>
      <c r="M7" s="23" t="s">
        <v>46</v>
      </c>
      <c r="N7" s="23" t="s">
        <v>47</v>
      </c>
    </row>
    <row r="8" spans="1:14" ht="12" customHeight="1" x14ac:dyDescent="0.25">
      <c r="A8" s="26" t="s">
        <v>49</v>
      </c>
      <c r="B8" s="32">
        <v>1.1499999999999999</v>
      </c>
      <c r="C8" s="33">
        <f>+C11*($B$3-$B$4)</f>
        <v>1.2649999999999999</v>
      </c>
      <c r="D8" s="34">
        <f>+C8-B8</f>
        <v>0.11499999999999999</v>
      </c>
      <c r="E8" s="35">
        <f t="shared" ref="E8:E11" si="0">+C8/B8-1</f>
        <v>0.10000000000000009</v>
      </c>
      <c r="F8" s="26" t="s">
        <v>50</v>
      </c>
      <c r="G8" s="32">
        <f t="shared" ref="G8:G11" si="1">+B2</f>
        <v>1.242</v>
      </c>
      <c r="H8" s="33">
        <f t="shared" ref="H8:H11" si="2">+G8*(1+$G$7)</f>
        <v>1.3662000000000001</v>
      </c>
      <c r="I8" s="32">
        <f t="shared" ref="I8:I11" si="3">H8-G8</f>
        <v>0.12420000000000009</v>
      </c>
      <c r="J8" s="33">
        <f t="shared" ref="J8:J11" si="4">+H8/G8-1</f>
        <v>0.10000000000000009</v>
      </c>
      <c r="K8" s="32">
        <f t="shared" ref="K8:K11" si="5">+$B$5</f>
        <v>22.999999999999996</v>
      </c>
      <c r="L8" s="33">
        <f>($B$2*(1+$B$7))/($B$3-$B$4)</f>
        <v>25.299999999999997</v>
      </c>
      <c r="M8" s="34">
        <f>+L8-K8</f>
        <v>2.3000000000000007</v>
      </c>
      <c r="N8" s="35">
        <f t="shared" ref="N8:N11" si="6">+L8/K8-1</f>
        <v>0.10000000000000009</v>
      </c>
    </row>
    <row r="9" spans="1:14" ht="12" customHeight="1" x14ac:dyDescent="0.25">
      <c r="A9" s="27" t="s">
        <v>51</v>
      </c>
      <c r="B9" s="36">
        <v>0.13400000000000001</v>
      </c>
      <c r="C9" s="37">
        <f>($B$2/C11)+$B$4</f>
        <v>0.13301818181818184</v>
      </c>
      <c r="D9" s="38">
        <f t="shared" ref="D9:D10" si="7">(C9-B9)</f>
        <v>-9.8181818181816705E-4</v>
      </c>
      <c r="E9" s="39">
        <f t="shared" si="0"/>
        <v>-7.3270013568520476E-3</v>
      </c>
      <c r="F9" s="27" t="s">
        <v>52</v>
      </c>
      <c r="G9" s="36">
        <f t="shared" si="1"/>
        <v>0.13400000000000001</v>
      </c>
      <c r="H9" s="37">
        <f t="shared" si="2"/>
        <v>0.14740000000000003</v>
      </c>
      <c r="I9" s="36">
        <f t="shared" si="3"/>
        <v>1.3400000000000023E-2</v>
      </c>
      <c r="J9" s="37">
        <f t="shared" si="4"/>
        <v>0.10000000000000009</v>
      </c>
      <c r="K9" s="40">
        <f t="shared" si="5"/>
        <v>22.999999999999996</v>
      </c>
      <c r="L9" s="41">
        <f>$B$2/($B$3*(1+$B$7)-$B$4)</f>
        <v>18.427299703264087</v>
      </c>
      <c r="M9" s="42">
        <f t="shared" ref="M9:M10" si="8">(L9-K9)</f>
        <v>-4.5727002967359098</v>
      </c>
      <c r="N9" s="39">
        <f t="shared" si="6"/>
        <v>-0.19881305637982216</v>
      </c>
    </row>
    <row r="10" spans="1:14" ht="12" customHeight="1" x14ac:dyDescent="0.25">
      <c r="A10" s="27" t="s">
        <v>53</v>
      </c>
      <c r="B10" s="36">
        <v>0.08</v>
      </c>
      <c r="C10" s="37">
        <f>$B$3-($B$2/C11)</f>
        <v>8.0981818181818183E-2</v>
      </c>
      <c r="D10" s="38">
        <f t="shared" si="7"/>
        <v>9.8181818181818092E-4</v>
      </c>
      <c r="E10" s="39">
        <f t="shared" si="0"/>
        <v>1.2272727272727213E-2</v>
      </c>
      <c r="F10" s="27" t="s">
        <v>54</v>
      </c>
      <c r="G10" s="36">
        <f t="shared" si="1"/>
        <v>0.08</v>
      </c>
      <c r="H10" s="37">
        <f t="shared" si="2"/>
        <v>8.8000000000000009E-2</v>
      </c>
      <c r="I10" s="36">
        <f t="shared" si="3"/>
        <v>8.0000000000000071E-3</v>
      </c>
      <c r="J10" s="37">
        <f t="shared" si="4"/>
        <v>0.10000000000000009</v>
      </c>
      <c r="K10" s="40">
        <f t="shared" si="5"/>
        <v>22.999999999999996</v>
      </c>
      <c r="L10" s="41">
        <f>$B$2/($B$3-$B$4*(1+$B$7))</f>
        <v>27</v>
      </c>
      <c r="M10" s="42">
        <f t="shared" si="8"/>
        <v>4.0000000000000036</v>
      </c>
      <c r="N10" s="39">
        <f t="shared" si="6"/>
        <v>0.17391304347826098</v>
      </c>
    </row>
    <row r="11" spans="1:14" ht="12" customHeight="1" x14ac:dyDescent="0.25">
      <c r="A11" s="43" t="s">
        <v>55</v>
      </c>
      <c r="B11" s="44">
        <f>B8/($B$3-$B$4)</f>
        <v>21.296296296296291</v>
      </c>
      <c r="C11" s="45">
        <f>+B11*(1+$B$7)</f>
        <v>23.42592592592592</v>
      </c>
      <c r="D11" s="44">
        <f>+C11-B11</f>
        <v>2.1296296296296298</v>
      </c>
      <c r="E11" s="46">
        <f t="shared" si="0"/>
        <v>0.10000000000000009</v>
      </c>
      <c r="F11" s="43" t="s">
        <v>55</v>
      </c>
      <c r="G11" s="47">
        <f t="shared" si="1"/>
        <v>22.999999999999996</v>
      </c>
      <c r="H11" s="45">
        <f t="shared" si="2"/>
        <v>25.299999999999997</v>
      </c>
      <c r="I11" s="47">
        <f t="shared" si="3"/>
        <v>2.3000000000000007</v>
      </c>
      <c r="J11" s="45">
        <f t="shared" si="4"/>
        <v>0.10000000000000009</v>
      </c>
      <c r="K11" s="47">
        <f t="shared" si="5"/>
        <v>22.999999999999996</v>
      </c>
      <c r="L11" s="45">
        <f>+K11*(1+$B$7)</f>
        <v>25.299999999999997</v>
      </c>
      <c r="M11" s="44">
        <f>+L11-K11</f>
        <v>2.3000000000000007</v>
      </c>
      <c r="N11" s="46">
        <f t="shared" si="6"/>
        <v>0.10000000000000009</v>
      </c>
    </row>
    <row r="12" spans="1:14" ht="12" customHeight="1" x14ac:dyDescent="0.25">
      <c r="A12" s="23"/>
      <c r="B12" s="23"/>
      <c r="C12" s="23"/>
      <c r="D12" s="23"/>
      <c r="E12" s="23"/>
      <c r="F12" s="23"/>
      <c r="G12" s="23"/>
      <c r="H12" s="23"/>
      <c r="I12" s="23"/>
      <c r="J12" s="23"/>
      <c r="K12" s="23"/>
      <c r="L12" s="23"/>
      <c r="M12" s="23"/>
      <c r="N12" s="23"/>
    </row>
    <row r="13" spans="1:14" ht="12" customHeight="1" x14ac:dyDescent="0.25">
      <c r="A13" s="23"/>
      <c r="B13" s="23"/>
      <c r="C13" s="23"/>
      <c r="D13" s="23"/>
      <c r="E13" s="23"/>
      <c r="F13" s="23"/>
      <c r="G13" s="23"/>
      <c r="H13" s="23"/>
      <c r="I13" s="23"/>
      <c r="J13" s="23"/>
      <c r="K13" s="23"/>
      <c r="L13" s="23"/>
      <c r="M13" s="23"/>
      <c r="N13" s="23"/>
    </row>
    <row r="14" spans="1:14" ht="12" customHeight="1" x14ac:dyDescent="0.25">
      <c r="A14" s="23"/>
      <c r="B14" s="23"/>
      <c r="C14" s="23"/>
      <c r="D14" s="23"/>
      <c r="E14" s="23"/>
      <c r="F14" s="23"/>
      <c r="G14" s="23"/>
      <c r="H14" s="23"/>
      <c r="I14" s="23"/>
      <c r="J14" s="23"/>
      <c r="K14" s="23"/>
      <c r="L14" s="23"/>
      <c r="M14" s="23"/>
      <c r="N14" s="23"/>
    </row>
    <row r="15" spans="1:14" ht="12" customHeight="1" x14ac:dyDescent="0.25">
      <c r="A15" s="23"/>
      <c r="B15" s="23"/>
      <c r="C15" s="23"/>
      <c r="D15" s="23"/>
      <c r="E15" s="23"/>
      <c r="F15" s="23"/>
      <c r="G15" s="23"/>
      <c r="H15" s="23"/>
      <c r="I15" s="23"/>
      <c r="J15" s="23"/>
      <c r="K15" s="23"/>
      <c r="L15" s="23"/>
      <c r="M15" s="23"/>
      <c r="N15" s="23"/>
    </row>
    <row r="16" spans="1:14" ht="12" customHeight="1" x14ac:dyDescent="0.25">
      <c r="A16" s="23"/>
      <c r="B16" s="23"/>
      <c r="C16" s="23"/>
      <c r="D16" s="23"/>
      <c r="E16" s="23"/>
      <c r="F16" s="23"/>
      <c r="G16" s="23"/>
      <c r="H16" s="23"/>
      <c r="I16" s="23"/>
      <c r="J16" s="23"/>
      <c r="K16" s="23"/>
      <c r="L16" s="23"/>
      <c r="M16" s="23"/>
      <c r="N16" s="23"/>
    </row>
    <row r="17" spans="1:14" ht="12" customHeight="1" x14ac:dyDescent="0.25">
      <c r="A17" s="23"/>
      <c r="B17" s="23"/>
      <c r="C17" s="23"/>
      <c r="D17" s="23"/>
      <c r="E17" s="23"/>
      <c r="F17" s="23"/>
      <c r="G17" s="23"/>
      <c r="H17" s="23"/>
      <c r="I17" s="23"/>
      <c r="J17" s="23"/>
      <c r="K17" s="23"/>
      <c r="L17" s="23"/>
      <c r="M17" s="23"/>
      <c r="N17" s="23"/>
    </row>
    <row r="18" spans="1:14" ht="12" customHeight="1" x14ac:dyDescent="0.25">
      <c r="A18" s="23"/>
      <c r="B18" s="23"/>
      <c r="C18" s="23"/>
      <c r="D18" s="23"/>
      <c r="E18" s="23"/>
      <c r="F18" s="23"/>
      <c r="G18" s="23"/>
      <c r="H18" s="23"/>
      <c r="I18" s="23"/>
      <c r="J18" s="23"/>
      <c r="K18" s="23"/>
      <c r="L18" s="23"/>
      <c r="M18" s="23"/>
      <c r="N18" s="23"/>
    </row>
    <row r="19" spans="1:14" ht="12" customHeight="1" x14ac:dyDescent="0.25">
      <c r="A19" s="23"/>
      <c r="B19" s="23"/>
      <c r="C19" s="23"/>
      <c r="D19" s="23"/>
      <c r="E19" s="23"/>
      <c r="F19" s="23"/>
      <c r="G19" s="23"/>
      <c r="H19" s="23"/>
      <c r="I19" s="23"/>
      <c r="J19" s="23"/>
      <c r="K19" s="23"/>
      <c r="L19" s="23"/>
      <c r="M19" s="23"/>
      <c r="N19" s="23"/>
    </row>
    <row r="20" spans="1:14" ht="12" customHeight="1" x14ac:dyDescent="0.25">
      <c r="A20" s="23"/>
      <c r="B20" s="23"/>
      <c r="C20" s="23"/>
      <c r="D20" s="23"/>
      <c r="E20" s="23"/>
      <c r="F20" s="23"/>
      <c r="G20" s="23"/>
      <c r="H20" s="23"/>
      <c r="I20" s="23"/>
      <c r="J20" s="23"/>
      <c r="K20" s="23"/>
      <c r="L20" s="23"/>
      <c r="M20" s="23"/>
      <c r="N20" s="23"/>
    </row>
    <row r="21" spans="1:14" ht="12" customHeight="1" x14ac:dyDescent="0.25">
      <c r="A21" s="23"/>
      <c r="B21" s="23"/>
      <c r="C21" s="23"/>
      <c r="D21" s="23"/>
      <c r="E21" s="23"/>
      <c r="F21" s="23"/>
      <c r="G21" s="23"/>
      <c r="H21" s="23"/>
      <c r="I21" s="23"/>
      <c r="J21" s="23"/>
      <c r="K21" s="23"/>
      <c r="L21" s="23"/>
      <c r="M21" s="23"/>
      <c r="N21" s="23"/>
    </row>
    <row r="22" spans="1:14" ht="12" customHeight="1" x14ac:dyDescent="0.25">
      <c r="A22" s="23"/>
      <c r="B22" s="23"/>
      <c r="C22" s="23"/>
      <c r="D22" s="23"/>
      <c r="E22" s="23"/>
      <c r="F22" s="23"/>
      <c r="G22" s="23"/>
      <c r="H22" s="23"/>
      <c r="I22" s="23"/>
      <c r="J22" s="23"/>
      <c r="K22" s="23"/>
      <c r="L22" s="23"/>
      <c r="M22" s="23"/>
      <c r="N22" s="23"/>
    </row>
    <row r="23" spans="1:14" ht="12" customHeight="1" x14ac:dyDescent="0.25">
      <c r="A23" s="23"/>
      <c r="B23" s="23"/>
      <c r="C23" s="23"/>
      <c r="D23" s="23"/>
      <c r="E23" s="23"/>
      <c r="F23" s="23"/>
      <c r="G23" s="23"/>
      <c r="H23" s="23"/>
      <c r="I23" s="23"/>
      <c r="J23" s="23"/>
      <c r="K23" s="23"/>
      <c r="L23" s="23"/>
      <c r="M23" s="23"/>
      <c r="N23" s="23"/>
    </row>
    <row r="24" spans="1:14" ht="12" customHeight="1" x14ac:dyDescent="0.25">
      <c r="A24" s="23"/>
      <c r="B24" s="23"/>
      <c r="C24" s="23"/>
      <c r="D24" s="23"/>
      <c r="E24" s="23"/>
      <c r="F24" s="23"/>
      <c r="G24" s="23"/>
      <c r="H24" s="23"/>
      <c r="I24" s="23"/>
      <c r="J24" s="23"/>
      <c r="K24" s="23"/>
      <c r="L24" s="23"/>
      <c r="M24" s="23"/>
      <c r="N24" s="23"/>
    </row>
    <row r="25" spans="1:14" ht="12" customHeight="1" x14ac:dyDescent="0.25">
      <c r="A25" s="23"/>
      <c r="B25" s="23"/>
      <c r="C25" s="23"/>
      <c r="D25" s="23"/>
      <c r="E25" s="23"/>
      <c r="F25" s="23"/>
      <c r="G25" s="23"/>
      <c r="H25" s="23"/>
      <c r="I25" s="23"/>
      <c r="J25" s="23"/>
      <c r="K25" s="23"/>
      <c r="L25" s="23"/>
      <c r="M25" s="23"/>
      <c r="N25" s="23"/>
    </row>
    <row r="26" spans="1:14" ht="12" customHeight="1" x14ac:dyDescent="0.25">
      <c r="A26" s="23"/>
      <c r="B26" s="23"/>
      <c r="C26" s="23"/>
      <c r="D26" s="23"/>
      <c r="E26" s="23"/>
      <c r="F26" s="23"/>
      <c r="G26" s="23"/>
      <c r="H26" s="23"/>
      <c r="I26" s="23"/>
      <c r="J26" s="23"/>
      <c r="K26" s="23"/>
      <c r="L26" s="23"/>
      <c r="M26" s="23"/>
      <c r="N26" s="23"/>
    </row>
    <row r="27" spans="1:14" ht="12" customHeight="1" x14ac:dyDescent="0.25">
      <c r="A27" s="23"/>
      <c r="B27" s="23"/>
      <c r="C27" s="23"/>
      <c r="D27" s="23"/>
      <c r="E27" s="23"/>
      <c r="F27" s="23"/>
      <c r="G27" s="23"/>
      <c r="H27" s="23"/>
      <c r="I27" s="23"/>
      <c r="J27" s="23"/>
      <c r="K27" s="23"/>
      <c r="L27" s="23"/>
      <c r="M27" s="23"/>
      <c r="N27" s="23"/>
    </row>
    <row r="28" spans="1:14" ht="12" customHeight="1" x14ac:dyDescent="0.25">
      <c r="A28" s="23"/>
      <c r="B28" s="23"/>
      <c r="C28" s="23"/>
      <c r="D28" s="23"/>
      <c r="E28" s="23"/>
      <c r="F28" s="23"/>
      <c r="G28" s="23"/>
      <c r="H28" s="23"/>
      <c r="I28" s="23"/>
      <c r="J28" s="23"/>
      <c r="K28" s="23"/>
      <c r="L28" s="23"/>
      <c r="M28" s="23"/>
      <c r="N28" s="23"/>
    </row>
    <row r="29" spans="1:14" ht="12" customHeight="1" x14ac:dyDescent="0.25">
      <c r="A29" s="23"/>
      <c r="B29" s="23"/>
      <c r="C29" s="23"/>
      <c r="D29" s="23"/>
      <c r="E29" s="23"/>
      <c r="F29" s="23"/>
      <c r="G29" s="23"/>
      <c r="H29" s="23"/>
      <c r="I29" s="23"/>
      <c r="J29" s="23"/>
      <c r="K29" s="23"/>
      <c r="L29" s="23"/>
      <c r="M29" s="23"/>
      <c r="N29" s="23"/>
    </row>
    <row r="30" spans="1:14" ht="12" customHeight="1" x14ac:dyDescent="0.25">
      <c r="A30" s="23"/>
      <c r="B30" s="23"/>
      <c r="C30" s="23"/>
      <c r="D30" s="23"/>
      <c r="E30" s="23"/>
      <c r="F30" s="23"/>
      <c r="G30" s="23"/>
      <c r="H30" s="23"/>
      <c r="I30" s="23"/>
      <c r="J30" s="23"/>
      <c r="K30" s="23"/>
      <c r="L30" s="23"/>
      <c r="M30" s="23"/>
      <c r="N30" s="23"/>
    </row>
    <row r="31" spans="1:14" ht="12" customHeight="1" x14ac:dyDescent="0.25">
      <c r="A31" s="23"/>
      <c r="B31" s="23"/>
      <c r="C31" s="23"/>
      <c r="D31" s="23"/>
      <c r="E31" s="23"/>
      <c r="F31" s="23"/>
      <c r="G31" s="23"/>
      <c r="H31" s="23"/>
      <c r="I31" s="23"/>
      <c r="J31" s="23"/>
      <c r="K31" s="23"/>
      <c r="L31" s="23"/>
      <c r="M31" s="23"/>
      <c r="N31" s="23"/>
    </row>
    <row r="32" spans="1:14" ht="12" customHeight="1" x14ac:dyDescent="0.25"/>
    <row r="33" spans="1:1" ht="12" customHeight="1" x14ac:dyDescent="0.25"/>
    <row r="34" spans="1:1" ht="12" customHeight="1" x14ac:dyDescent="0.25"/>
    <row r="35" spans="1:1" ht="12" customHeight="1" x14ac:dyDescent="0.25"/>
    <row r="36" spans="1:1" ht="12" customHeight="1" x14ac:dyDescent="0.25"/>
    <row r="37" spans="1:1" ht="12" customHeight="1" x14ac:dyDescent="0.25"/>
    <row r="38" spans="1:1" ht="12" customHeight="1" x14ac:dyDescent="0.25">
      <c r="A38" s="48"/>
    </row>
    <row r="39" spans="1:1" ht="12" customHeight="1" x14ac:dyDescent="0.25"/>
    <row r="40" spans="1:1" ht="12" customHeight="1" x14ac:dyDescent="0.25"/>
    <row r="41" spans="1:1" ht="12" customHeight="1" x14ac:dyDescent="0.25"/>
    <row r="42" spans="1:1" ht="12" customHeight="1" x14ac:dyDescent="0.25"/>
    <row r="43" spans="1:1" ht="12" customHeight="1" x14ac:dyDescent="0.25"/>
    <row r="44" spans="1:1" ht="12" customHeight="1" x14ac:dyDescent="0.25"/>
    <row r="45" spans="1:1" ht="12" customHeight="1" x14ac:dyDescent="0.25"/>
    <row r="46" spans="1:1" ht="12" customHeight="1" x14ac:dyDescent="0.25"/>
    <row r="47" spans="1:1" ht="12" customHeight="1" x14ac:dyDescent="0.25"/>
    <row r="48" spans="1:1" ht="12" customHeight="1" x14ac:dyDescent="0.25"/>
    <row r="49" ht="12" customHeight="1" x14ac:dyDescent="0.25"/>
    <row r="50" ht="12" customHeight="1" x14ac:dyDescent="0.25"/>
    <row r="51" ht="12" customHeight="1" x14ac:dyDescent="0.25"/>
    <row r="52" ht="12" customHeight="1" x14ac:dyDescent="0.25"/>
    <row r="53" ht="12" customHeight="1" x14ac:dyDescent="0.25"/>
    <row r="54" ht="12" customHeight="1" x14ac:dyDescent="0.25"/>
    <row r="55" ht="12" customHeight="1" x14ac:dyDescent="0.25"/>
    <row r="56" ht="12" customHeight="1" x14ac:dyDescent="0.25"/>
    <row r="57" ht="12" customHeight="1" x14ac:dyDescent="0.25"/>
    <row r="58" ht="12" customHeight="1" x14ac:dyDescent="0.25"/>
    <row r="59" ht="12" customHeight="1" x14ac:dyDescent="0.25"/>
    <row r="60" ht="12" customHeight="1" x14ac:dyDescent="0.25"/>
    <row r="61" ht="12" customHeight="1" x14ac:dyDescent="0.25"/>
    <row r="62" ht="12" customHeight="1" x14ac:dyDescent="0.25"/>
    <row r="63" ht="12" customHeight="1" x14ac:dyDescent="0.25"/>
    <row r="64" ht="12" customHeight="1" x14ac:dyDescent="0.25"/>
    <row r="65" ht="12" customHeight="1" x14ac:dyDescent="0.25"/>
    <row r="66" ht="12" customHeight="1" x14ac:dyDescent="0.25"/>
    <row r="67" ht="12" customHeight="1" x14ac:dyDescent="0.25"/>
    <row r="68" ht="12" customHeight="1" x14ac:dyDescent="0.25"/>
    <row r="69" ht="12" customHeight="1" x14ac:dyDescent="0.25"/>
    <row r="70" ht="12" customHeight="1" x14ac:dyDescent="0.25"/>
    <row r="71" ht="12" customHeight="1" x14ac:dyDescent="0.25"/>
    <row r="72" ht="12" customHeight="1" x14ac:dyDescent="0.25"/>
    <row r="73" ht="12" customHeight="1" x14ac:dyDescent="0.25"/>
    <row r="74" ht="12" customHeight="1" x14ac:dyDescent="0.25"/>
    <row r="75" ht="12" customHeight="1" x14ac:dyDescent="0.25"/>
    <row r="76" ht="12" customHeight="1" x14ac:dyDescent="0.25"/>
    <row r="77" ht="12" customHeight="1" x14ac:dyDescent="0.25"/>
    <row r="78" ht="12" customHeight="1" x14ac:dyDescent="0.25"/>
    <row r="79" ht="12" customHeight="1" x14ac:dyDescent="0.25"/>
    <row r="80" ht="12" customHeight="1" x14ac:dyDescent="0.25"/>
    <row r="81" ht="12" customHeight="1" x14ac:dyDescent="0.25"/>
    <row r="82" ht="12" customHeight="1" x14ac:dyDescent="0.25"/>
    <row r="83" ht="12" customHeight="1" x14ac:dyDescent="0.25"/>
    <row r="84" ht="12" customHeight="1" x14ac:dyDescent="0.25"/>
    <row r="85" ht="12" customHeight="1" x14ac:dyDescent="0.25"/>
    <row r="86" ht="12" customHeight="1" x14ac:dyDescent="0.25"/>
    <row r="87" ht="12" customHeight="1" x14ac:dyDescent="0.25"/>
    <row r="88" ht="12" customHeight="1" x14ac:dyDescent="0.25"/>
    <row r="89" ht="12" customHeight="1" x14ac:dyDescent="0.25"/>
    <row r="90" ht="12" customHeight="1" x14ac:dyDescent="0.25"/>
    <row r="91" ht="12" customHeight="1" x14ac:dyDescent="0.25"/>
    <row r="92" ht="12" customHeight="1" x14ac:dyDescent="0.25"/>
    <row r="93" ht="12" customHeight="1" x14ac:dyDescent="0.25"/>
    <row r="94" ht="12" customHeight="1" x14ac:dyDescent="0.25"/>
    <row r="95" ht="12" customHeight="1" x14ac:dyDescent="0.25"/>
    <row r="96" ht="12" customHeight="1" x14ac:dyDescent="0.25"/>
    <row r="97" ht="12" customHeight="1" x14ac:dyDescent="0.25"/>
    <row r="98" ht="12" customHeight="1" x14ac:dyDescent="0.25"/>
    <row r="99" ht="12" customHeight="1" x14ac:dyDescent="0.25"/>
    <row r="100" ht="12" customHeight="1" x14ac:dyDescent="0.25"/>
    <row r="101" ht="12" customHeight="1" x14ac:dyDescent="0.25"/>
    <row r="102" ht="12" customHeight="1" x14ac:dyDescent="0.25"/>
    <row r="103" ht="12" customHeight="1" x14ac:dyDescent="0.25"/>
    <row r="104" ht="12" customHeight="1" x14ac:dyDescent="0.25"/>
    <row r="105" ht="12" customHeight="1" x14ac:dyDescent="0.25"/>
    <row r="106" ht="12" customHeight="1" x14ac:dyDescent="0.25"/>
    <row r="107" ht="12" customHeight="1" x14ac:dyDescent="0.25"/>
    <row r="108" ht="12" customHeight="1" x14ac:dyDescent="0.25"/>
    <row r="109" ht="12" customHeight="1" x14ac:dyDescent="0.25"/>
    <row r="110" ht="12" customHeight="1" x14ac:dyDescent="0.25"/>
    <row r="111" ht="12" customHeight="1" x14ac:dyDescent="0.25"/>
    <row r="112" ht="12" customHeight="1" x14ac:dyDescent="0.25"/>
    <row r="113" ht="12" customHeight="1" x14ac:dyDescent="0.25"/>
    <row r="114" ht="12" customHeight="1" x14ac:dyDescent="0.25"/>
    <row r="115" ht="12" customHeight="1" x14ac:dyDescent="0.25"/>
    <row r="116" ht="12" customHeight="1" x14ac:dyDescent="0.25"/>
    <row r="117" ht="12" customHeight="1" x14ac:dyDescent="0.25"/>
    <row r="118" ht="12" customHeight="1" x14ac:dyDescent="0.25"/>
    <row r="119" ht="12" customHeight="1" x14ac:dyDescent="0.25"/>
    <row r="120" ht="12" customHeight="1" x14ac:dyDescent="0.25"/>
    <row r="121" ht="12" customHeight="1" x14ac:dyDescent="0.25"/>
    <row r="122" ht="12" customHeight="1" x14ac:dyDescent="0.25"/>
    <row r="123" ht="12" customHeight="1" x14ac:dyDescent="0.25"/>
    <row r="124" ht="12" customHeight="1" x14ac:dyDescent="0.25"/>
    <row r="125" ht="12" customHeight="1" x14ac:dyDescent="0.25"/>
    <row r="126" ht="12" customHeight="1" x14ac:dyDescent="0.25"/>
    <row r="127" ht="12" customHeight="1" x14ac:dyDescent="0.25"/>
    <row r="128" ht="12" customHeight="1" x14ac:dyDescent="0.25"/>
    <row r="129" ht="12" customHeight="1" x14ac:dyDescent="0.25"/>
    <row r="130" ht="12" customHeight="1" x14ac:dyDescent="0.25"/>
    <row r="131" ht="12" customHeight="1" x14ac:dyDescent="0.25"/>
    <row r="132" ht="12" customHeight="1" x14ac:dyDescent="0.25"/>
    <row r="133" ht="12" customHeight="1" x14ac:dyDescent="0.25"/>
    <row r="134" ht="12" customHeight="1" x14ac:dyDescent="0.25"/>
    <row r="135" ht="12" customHeight="1" x14ac:dyDescent="0.25"/>
    <row r="136" ht="12" customHeight="1" x14ac:dyDescent="0.25"/>
    <row r="137" ht="12" customHeight="1" x14ac:dyDescent="0.25"/>
    <row r="138" ht="12" customHeight="1" x14ac:dyDescent="0.25"/>
    <row r="139" ht="12" customHeight="1" x14ac:dyDescent="0.25"/>
    <row r="140" ht="12" customHeight="1" x14ac:dyDescent="0.25"/>
    <row r="141" ht="12" customHeight="1" x14ac:dyDescent="0.25"/>
    <row r="142" ht="12" customHeight="1" x14ac:dyDescent="0.25"/>
    <row r="143" ht="12" customHeight="1" x14ac:dyDescent="0.25"/>
    <row r="144" ht="12" customHeight="1" x14ac:dyDescent="0.25"/>
    <row r="145" ht="12" customHeight="1" x14ac:dyDescent="0.25"/>
    <row r="146" ht="12" customHeight="1" x14ac:dyDescent="0.25"/>
    <row r="147" ht="12" customHeight="1" x14ac:dyDescent="0.25"/>
    <row r="148" ht="12" customHeight="1" x14ac:dyDescent="0.25"/>
    <row r="149" ht="12" customHeight="1" x14ac:dyDescent="0.25"/>
    <row r="150" ht="12" customHeight="1" x14ac:dyDescent="0.25"/>
    <row r="151" ht="12" customHeight="1" x14ac:dyDescent="0.25"/>
    <row r="152" ht="12" customHeight="1" x14ac:dyDescent="0.25"/>
    <row r="153" ht="12" customHeight="1" x14ac:dyDescent="0.25"/>
    <row r="154" ht="12" customHeight="1" x14ac:dyDescent="0.25"/>
    <row r="155" ht="12" customHeight="1" x14ac:dyDescent="0.25"/>
    <row r="156" ht="12" customHeight="1" x14ac:dyDescent="0.25"/>
    <row r="157" ht="12" customHeight="1" x14ac:dyDescent="0.25"/>
    <row r="158" ht="12" customHeight="1" x14ac:dyDescent="0.25"/>
    <row r="159" ht="12" customHeight="1" x14ac:dyDescent="0.25"/>
    <row r="160" ht="12" customHeight="1" x14ac:dyDescent="0.25"/>
    <row r="161" ht="12" customHeight="1" x14ac:dyDescent="0.25"/>
    <row r="162" ht="12" customHeight="1" x14ac:dyDescent="0.25"/>
    <row r="163" ht="12" customHeight="1" x14ac:dyDescent="0.25"/>
    <row r="164" ht="12" customHeight="1" x14ac:dyDescent="0.25"/>
    <row r="165" ht="12" customHeight="1" x14ac:dyDescent="0.25"/>
    <row r="166" ht="12" customHeight="1" x14ac:dyDescent="0.25"/>
    <row r="167" ht="12" customHeight="1" x14ac:dyDescent="0.25"/>
    <row r="168" ht="12" customHeight="1" x14ac:dyDescent="0.25"/>
    <row r="169" ht="12" customHeight="1" x14ac:dyDescent="0.25"/>
    <row r="170" ht="12" customHeight="1" x14ac:dyDescent="0.25"/>
    <row r="171" ht="12" customHeight="1" x14ac:dyDescent="0.25"/>
    <row r="172" ht="12" customHeight="1" x14ac:dyDescent="0.25"/>
    <row r="173" ht="12" customHeight="1" x14ac:dyDescent="0.25"/>
    <row r="174" ht="12" customHeight="1" x14ac:dyDescent="0.25"/>
    <row r="175" ht="12" customHeight="1" x14ac:dyDescent="0.25"/>
    <row r="176" ht="12" customHeight="1" x14ac:dyDescent="0.25"/>
    <row r="177" ht="12" customHeight="1" x14ac:dyDescent="0.25"/>
    <row r="178" ht="12" customHeight="1" x14ac:dyDescent="0.25"/>
    <row r="179" ht="12" customHeight="1" x14ac:dyDescent="0.25"/>
    <row r="180" ht="12" customHeight="1" x14ac:dyDescent="0.25"/>
    <row r="181" ht="12" customHeight="1" x14ac:dyDescent="0.25"/>
    <row r="182" ht="12" customHeight="1" x14ac:dyDescent="0.25"/>
    <row r="183" ht="12" customHeight="1" x14ac:dyDescent="0.25"/>
    <row r="184" ht="12" customHeight="1" x14ac:dyDescent="0.25"/>
    <row r="185" ht="12" customHeight="1" x14ac:dyDescent="0.25"/>
    <row r="186" ht="12" customHeight="1" x14ac:dyDescent="0.25"/>
    <row r="187" ht="12" customHeight="1" x14ac:dyDescent="0.25"/>
    <row r="188" ht="12" customHeight="1" x14ac:dyDescent="0.25"/>
    <row r="189" ht="12" customHeight="1" x14ac:dyDescent="0.25"/>
    <row r="190" ht="12" customHeight="1" x14ac:dyDescent="0.25"/>
    <row r="191" ht="12" customHeight="1" x14ac:dyDescent="0.25"/>
    <row r="192" ht="12" customHeight="1" x14ac:dyDescent="0.25"/>
    <row r="193" ht="12" customHeight="1" x14ac:dyDescent="0.25"/>
    <row r="194" ht="12" customHeight="1" x14ac:dyDescent="0.25"/>
    <row r="195" ht="12" customHeight="1" x14ac:dyDescent="0.25"/>
    <row r="196" ht="12" customHeight="1" x14ac:dyDescent="0.25"/>
    <row r="197" ht="12" customHeight="1" x14ac:dyDescent="0.25"/>
    <row r="198" ht="12" customHeight="1" x14ac:dyDescent="0.25"/>
    <row r="199" ht="12" customHeight="1" x14ac:dyDescent="0.25"/>
    <row r="200" ht="12" customHeight="1" x14ac:dyDescent="0.25"/>
    <row r="201" ht="12" customHeight="1" x14ac:dyDescent="0.25"/>
    <row r="202" ht="12" customHeight="1" x14ac:dyDescent="0.25"/>
    <row r="203" ht="12" customHeight="1" x14ac:dyDescent="0.25"/>
    <row r="204" ht="12" customHeight="1" x14ac:dyDescent="0.25"/>
    <row r="205" ht="12" customHeight="1" x14ac:dyDescent="0.25"/>
    <row r="206" ht="12" customHeight="1" x14ac:dyDescent="0.25"/>
    <row r="207" ht="12" customHeight="1" x14ac:dyDescent="0.25"/>
    <row r="208" ht="12" customHeight="1" x14ac:dyDescent="0.25"/>
    <row r="209" ht="12" customHeight="1" x14ac:dyDescent="0.25"/>
    <row r="210" ht="12" customHeight="1" x14ac:dyDescent="0.25"/>
    <row r="211" ht="12" customHeight="1" x14ac:dyDescent="0.25"/>
    <row r="212" ht="12" customHeight="1" x14ac:dyDescent="0.25"/>
    <row r="213" ht="12" customHeight="1" x14ac:dyDescent="0.25"/>
    <row r="214" ht="12" customHeight="1" x14ac:dyDescent="0.25"/>
    <row r="215" ht="12" customHeight="1" x14ac:dyDescent="0.25"/>
    <row r="216" ht="12" customHeight="1" x14ac:dyDescent="0.25"/>
    <row r="217" ht="12" customHeight="1" x14ac:dyDescent="0.25"/>
    <row r="218" ht="12" customHeight="1" x14ac:dyDescent="0.25"/>
    <row r="219" ht="12" customHeight="1" x14ac:dyDescent="0.25"/>
    <row r="220" ht="12" customHeight="1" x14ac:dyDescent="0.25"/>
    <row r="221" ht="12" customHeight="1" x14ac:dyDescent="0.25"/>
    <row r="222" ht="12" customHeight="1" x14ac:dyDescent="0.25"/>
    <row r="223" ht="12" customHeight="1" x14ac:dyDescent="0.25"/>
    <row r="224" ht="12" customHeight="1" x14ac:dyDescent="0.25"/>
    <row r="225" ht="12" customHeight="1" x14ac:dyDescent="0.25"/>
    <row r="226" ht="12" customHeight="1" x14ac:dyDescent="0.25"/>
    <row r="227" ht="12" customHeight="1" x14ac:dyDescent="0.25"/>
    <row r="228" ht="12" customHeight="1" x14ac:dyDescent="0.25"/>
    <row r="229" ht="12" customHeight="1" x14ac:dyDescent="0.25"/>
    <row r="230" ht="12" customHeight="1" x14ac:dyDescent="0.25"/>
    <row r="231" ht="12" customHeight="1" x14ac:dyDescent="0.25"/>
    <row r="232" ht="12" customHeight="1" x14ac:dyDescent="0.25"/>
    <row r="233" ht="12" customHeight="1" x14ac:dyDescent="0.25"/>
    <row r="234" ht="12" customHeight="1" x14ac:dyDescent="0.25"/>
    <row r="235" ht="12" customHeight="1" x14ac:dyDescent="0.25"/>
    <row r="236" ht="12" customHeight="1" x14ac:dyDescent="0.25"/>
    <row r="237" ht="12" customHeight="1" x14ac:dyDescent="0.25"/>
    <row r="238" ht="12" customHeight="1" x14ac:dyDescent="0.25"/>
    <row r="239" ht="12" customHeight="1" x14ac:dyDescent="0.25"/>
    <row r="240" ht="12" customHeight="1" x14ac:dyDescent="0.25"/>
    <row r="241" ht="12" customHeight="1" x14ac:dyDescent="0.25"/>
    <row r="242" ht="12" customHeight="1" x14ac:dyDescent="0.25"/>
    <row r="243" ht="12" customHeight="1" x14ac:dyDescent="0.25"/>
    <row r="244" ht="12" customHeight="1" x14ac:dyDescent="0.25"/>
    <row r="245" ht="12" customHeight="1" x14ac:dyDescent="0.25"/>
    <row r="246" ht="12" customHeight="1" x14ac:dyDescent="0.25"/>
    <row r="247" ht="12" customHeight="1" x14ac:dyDescent="0.25"/>
    <row r="248" ht="12" customHeight="1" x14ac:dyDescent="0.25"/>
    <row r="249" ht="12" customHeight="1" x14ac:dyDescent="0.25"/>
    <row r="250" ht="12" customHeight="1" x14ac:dyDescent="0.25"/>
    <row r="251" ht="12" customHeight="1" x14ac:dyDescent="0.25"/>
    <row r="252" ht="12" customHeight="1" x14ac:dyDescent="0.25"/>
    <row r="253" ht="12" customHeight="1" x14ac:dyDescent="0.25"/>
    <row r="254" ht="12" customHeight="1" x14ac:dyDescent="0.25"/>
    <row r="255" ht="12" customHeight="1" x14ac:dyDescent="0.25"/>
    <row r="256" ht="12" customHeight="1" x14ac:dyDescent="0.25"/>
    <row r="257" ht="12" customHeight="1" x14ac:dyDescent="0.25"/>
    <row r="258" ht="12" customHeight="1" x14ac:dyDescent="0.25"/>
    <row r="259" ht="12" customHeight="1" x14ac:dyDescent="0.25"/>
    <row r="260" ht="12" customHeight="1" x14ac:dyDescent="0.25"/>
    <row r="261" ht="12" customHeight="1" x14ac:dyDescent="0.25"/>
    <row r="262" ht="12" customHeight="1" x14ac:dyDescent="0.25"/>
    <row r="263" ht="12" customHeight="1" x14ac:dyDescent="0.25"/>
    <row r="264" ht="12" customHeight="1" x14ac:dyDescent="0.25"/>
    <row r="265" ht="12" customHeight="1" x14ac:dyDescent="0.25"/>
    <row r="266" ht="12" customHeight="1" x14ac:dyDescent="0.25"/>
    <row r="267" ht="12" customHeight="1" x14ac:dyDescent="0.25"/>
    <row r="268" ht="12" customHeight="1" x14ac:dyDescent="0.25"/>
    <row r="269" ht="12" customHeight="1" x14ac:dyDescent="0.25"/>
    <row r="270" ht="12" customHeight="1" x14ac:dyDescent="0.25"/>
    <row r="271" ht="12" customHeight="1" x14ac:dyDescent="0.25"/>
    <row r="272" ht="12" customHeight="1" x14ac:dyDescent="0.25"/>
    <row r="273" ht="12" customHeight="1" x14ac:dyDescent="0.25"/>
    <row r="274" ht="12" customHeight="1" x14ac:dyDescent="0.25"/>
    <row r="275" ht="12" customHeight="1" x14ac:dyDescent="0.25"/>
    <row r="276" ht="12" customHeight="1" x14ac:dyDescent="0.25"/>
    <row r="277" ht="12" customHeight="1" x14ac:dyDescent="0.25"/>
    <row r="278" ht="12" customHeight="1" x14ac:dyDescent="0.25"/>
    <row r="279" ht="12" customHeight="1" x14ac:dyDescent="0.25"/>
    <row r="280" ht="12" customHeight="1" x14ac:dyDescent="0.25"/>
    <row r="281" ht="12" customHeight="1" x14ac:dyDescent="0.25"/>
    <row r="282" ht="12" customHeight="1" x14ac:dyDescent="0.25"/>
    <row r="283" ht="12" customHeight="1" x14ac:dyDescent="0.25"/>
    <row r="284" ht="12" customHeight="1" x14ac:dyDescent="0.25"/>
    <row r="285" ht="12" customHeight="1" x14ac:dyDescent="0.25"/>
    <row r="286" ht="12" customHeight="1" x14ac:dyDescent="0.25"/>
    <row r="287" ht="12" customHeight="1" x14ac:dyDescent="0.25"/>
    <row r="288" ht="12" customHeight="1" x14ac:dyDescent="0.25"/>
    <row r="289" ht="12" customHeight="1" x14ac:dyDescent="0.25"/>
    <row r="290" ht="12" customHeight="1" x14ac:dyDescent="0.25"/>
    <row r="291" ht="12" customHeight="1" x14ac:dyDescent="0.25"/>
    <row r="292" ht="12" customHeight="1" x14ac:dyDescent="0.25"/>
    <row r="293" ht="12" customHeight="1" x14ac:dyDescent="0.25"/>
    <row r="294" ht="12" customHeight="1" x14ac:dyDescent="0.25"/>
    <row r="295" ht="12" customHeight="1" x14ac:dyDescent="0.25"/>
    <row r="296" ht="12" customHeight="1" x14ac:dyDescent="0.25"/>
    <row r="297" ht="12" customHeight="1" x14ac:dyDescent="0.25"/>
    <row r="298" ht="12" customHeight="1" x14ac:dyDescent="0.25"/>
    <row r="299" ht="12" customHeight="1" x14ac:dyDescent="0.25"/>
    <row r="300" ht="12" customHeight="1" x14ac:dyDescent="0.25"/>
    <row r="301" ht="12" customHeight="1" x14ac:dyDescent="0.25"/>
    <row r="302" ht="12" customHeight="1" x14ac:dyDescent="0.25"/>
    <row r="303" ht="12" customHeight="1" x14ac:dyDescent="0.25"/>
    <row r="304" ht="12" customHeight="1" x14ac:dyDescent="0.25"/>
    <row r="305" ht="12" customHeight="1" x14ac:dyDescent="0.25"/>
    <row r="306" ht="12" customHeight="1" x14ac:dyDescent="0.25"/>
    <row r="307" ht="12" customHeight="1" x14ac:dyDescent="0.25"/>
    <row r="308" ht="12" customHeight="1" x14ac:dyDescent="0.25"/>
    <row r="309" ht="12" customHeight="1" x14ac:dyDescent="0.25"/>
    <row r="310" ht="12" customHeight="1" x14ac:dyDescent="0.25"/>
    <row r="311" ht="12" customHeight="1" x14ac:dyDescent="0.25"/>
    <row r="312" ht="12" customHeight="1" x14ac:dyDescent="0.25"/>
    <row r="313" ht="12" customHeight="1" x14ac:dyDescent="0.25"/>
    <row r="314" ht="12" customHeight="1" x14ac:dyDescent="0.25"/>
    <row r="315" ht="12" customHeight="1" x14ac:dyDescent="0.25"/>
    <row r="316" ht="12" customHeight="1" x14ac:dyDescent="0.25"/>
    <row r="317" ht="12" customHeight="1" x14ac:dyDescent="0.25"/>
    <row r="318" ht="12" customHeight="1" x14ac:dyDescent="0.25"/>
    <row r="319" ht="12" customHeight="1" x14ac:dyDescent="0.25"/>
    <row r="320" ht="12" customHeight="1" x14ac:dyDescent="0.25"/>
    <row r="321" ht="12" customHeight="1" x14ac:dyDescent="0.25"/>
    <row r="322" ht="12" customHeight="1" x14ac:dyDescent="0.25"/>
    <row r="323" ht="12" customHeight="1" x14ac:dyDescent="0.25"/>
    <row r="324" ht="12" customHeight="1" x14ac:dyDescent="0.25"/>
    <row r="325" ht="12" customHeight="1" x14ac:dyDescent="0.25"/>
    <row r="326" ht="12" customHeight="1" x14ac:dyDescent="0.25"/>
    <row r="327" ht="12" customHeight="1" x14ac:dyDescent="0.25"/>
    <row r="328" ht="12" customHeight="1" x14ac:dyDescent="0.25"/>
    <row r="329" ht="12" customHeight="1" x14ac:dyDescent="0.25"/>
    <row r="330" ht="12" customHeight="1" x14ac:dyDescent="0.25"/>
    <row r="331" ht="12" customHeight="1" x14ac:dyDescent="0.25"/>
    <row r="332" ht="12" customHeight="1" x14ac:dyDescent="0.25"/>
    <row r="333" ht="12" customHeight="1" x14ac:dyDescent="0.25"/>
    <row r="334" ht="12" customHeight="1" x14ac:dyDescent="0.25"/>
    <row r="335" ht="12" customHeight="1" x14ac:dyDescent="0.25"/>
    <row r="336" ht="12" customHeight="1" x14ac:dyDescent="0.25"/>
    <row r="337" ht="12" customHeight="1" x14ac:dyDescent="0.25"/>
    <row r="338" ht="12" customHeight="1" x14ac:dyDescent="0.25"/>
    <row r="339" ht="12" customHeight="1" x14ac:dyDescent="0.25"/>
    <row r="340" ht="12" customHeight="1" x14ac:dyDescent="0.25"/>
    <row r="341" ht="12" customHeight="1" x14ac:dyDescent="0.25"/>
    <row r="342" ht="12" customHeight="1" x14ac:dyDescent="0.25"/>
    <row r="343" ht="12" customHeight="1" x14ac:dyDescent="0.25"/>
    <row r="344" ht="12" customHeight="1" x14ac:dyDescent="0.25"/>
    <row r="345" ht="12" customHeight="1" x14ac:dyDescent="0.25"/>
    <row r="346" ht="12" customHeight="1" x14ac:dyDescent="0.25"/>
    <row r="347" ht="12" customHeight="1" x14ac:dyDescent="0.25"/>
    <row r="348" ht="12" customHeight="1" x14ac:dyDescent="0.25"/>
    <row r="349" ht="12" customHeight="1" x14ac:dyDescent="0.25"/>
    <row r="350" ht="12" customHeight="1" x14ac:dyDescent="0.25"/>
    <row r="351" ht="12" customHeight="1" x14ac:dyDescent="0.25"/>
    <row r="352" ht="12" customHeight="1" x14ac:dyDescent="0.25"/>
    <row r="353" ht="12" customHeight="1" x14ac:dyDescent="0.25"/>
    <row r="354" ht="12" customHeight="1" x14ac:dyDescent="0.25"/>
    <row r="355" ht="12" customHeight="1" x14ac:dyDescent="0.25"/>
    <row r="356" ht="12" customHeight="1" x14ac:dyDescent="0.25"/>
    <row r="357" ht="12" customHeight="1" x14ac:dyDescent="0.25"/>
    <row r="358" ht="12" customHeight="1" x14ac:dyDescent="0.25"/>
    <row r="359" ht="12" customHeight="1" x14ac:dyDescent="0.25"/>
    <row r="360" ht="12" customHeight="1" x14ac:dyDescent="0.25"/>
    <row r="361" ht="12" customHeight="1" x14ac:dyDescent="0.25"/>
    <row r="362" ht="12" customHeight="1" x14ac:dyDescent="0.25"/>
    <row r="363" ht="12" customHeight="1" x14ac:dyDescent="0.25"/>
    <row r="364" ht="12" customHeight="1" x14ac:dyDescent="0.25"/>
    <row r="365" ht="12" customHeight="1" x14ac:dyDescent="0.25"/>
    <row r="366" ht="12" customHeight="1" x14ac:dyDescent="0.25"/>
    <row r="367" ht="12" customHeight="1" x14ac:dyDescent="0.25"/>
    <row r="368" ht="12" customHeight="1" x14ac:dyDescent="0.25"/>
    <row r="369" ht="12" customHeight="1" x14ac:dyDescent="0.25"/>
    <row r="370" ht="12" customHeight="1" x14ac:dyDescent="0.25"/>
    <row r="371" ht="12" customHeight="1" x14ac:dyDescent="0.25"/>
    <row r="372" ht="12" customHeight="1" x14ac:dyDescent="0.25"/>
    <row r="373" ht="12" customHeight="1" x14ac:dyDescent="0.25"/>
    <row r="374" ht="12" customHeight="1" x14ac:dyDescent="0.25"/>
    <row r="375" ht="12" customHeight="1" x14ac:dyDescent="0.25"/>
    <row r="376" ht="12" customHeight="1" x14ac:dyDescent="0.25"/>
    <row r="377" ht="12" customHeight="1" x14ac:dyDescent="0.25"/>
    <row r="378" ht="12" customHeight="1" x14ac:dyDescent="0.25"/>
    <row r="379" ht="12" customHeight="1" x14ac:dyDescent="0.25"/>
    <row r="380" ht="12" customHeight="1" x14ac:dyDescent="0.25"/>
    <row r="381" ht="12" customHeight="1" x14ac:dyDescent="0.25"/>
    <row r="382" ht="12" customHeight="1" x14ac:dyDescent="0.25"/>
    <row r="383" ht="12" customHeight="1" x14ac:dyDescent="0.25"/>
    <row r="384" ht="12" customHeight="1" x14ac:dyDescent="0.25"/>
    <row r="385" ht="12" customHeight="1" x14ac:dyDescent="0.25"/>
    <row r="386" ht="12" customHeight="1" x14ac:dyDescent="0.25"/>
    <row r="387" ht="12" customHeight="1" x14ac:dyDescent="0.25"/>
    <row r="388" ht="12" customHeight="1" x14ac:dyDescent="0.25"/>
    <row r="389" ht="12" customHeight="1" x14ac:dyDescent="0.25"/>
    <row r="390" ht="12" customHeight="1" x14ac:dyDescent="0.25"/>
    <row r="391" ht="12" customHeight="1" x14ac:dyDescent="0.25"/>
    <row r="392" ht="12" customHeight="1" x14ac:dyDescent="0.25"/>
    <row r="393" ht="12" customHeight="1" x14ac:dyDescent="0.25"/>
    <row r="394" ht="12" customHeight="1" x14ac:dyDescent="0.25"/>
    <row r="395" ht="12" customHeight="1" x14ac:dyDescent="0.25"/>
    <row r="396" ht="12" customHeight="1" x14ac:dyDescent="0.25"/>
    <row r="397" ht="12" customHeight="1" x14ac:dyDescent="0.25"/>
    <row r="398" ht="12" customHeight="1" x14ac:dyDescent="0.25"/>
    <row r="399" ht="12" customHeight="1" x14ac:dyDescent="0.25"/>
    <row r="400" ht="12" customHeight="1" x14ac:dyDescent="0.25"/>
    <row r="401" ht="12" customHeight="1" x14ac:dyDescent="0.25"/>
    <row r="402" ht="12" customHeight="1" x14ac:dyDescent="0.25"/>
    <row r="403" ht="12" customHeight="1" x14ac:dyDescent="0.25"/>
    <row r="404" ht="12" customHeight="1" x14ac:dyDescent="0.25"/>
    <row r="405" ht="12" customHeight="1" x14ac:dyDescent="0.25"/>
    <row r="406" ht="12" customHeight="1" x14ac:dyDescent="0.25"/>
    <row r="407" ht="12" customHeight="1" x14ac:dyDescent="0.25"/>
    <row r="408" ht="12" customHeight="1" x14ac:dyDescent="0.25"/>
    <row r="409" ht="12" customHeight="1" x14ac:dyDescent="0.25"/>
    <row r="410" ht="12" customHeight="1" x14ac:dyDescent="0.25"/>
    <row r="411" ht="12" customHeight="1" x14ac:dyDescent="0.25"/>
    <row r="412" ht="12" customHeight="1" x14ac:dyDescent="0.25"/>
    <row r="413" ht="12" customHeight="1" x14ac:dyDescent="0.25"/>
    <row r="414" ht="12" customHeight="1" x14ac:dyDescent="0.25"/>
    <row r="415" ht="12" customHeight="1" x14ac:dyDescent="0.25"/>
    <row r="416" ht="12" customHeight="1" x14ac:dyDescent="0.25"/>
    <row r="417" ht="12" customHeight="1" x14ac:dyDescent="0.25"/>
    <row r="418" ht="12" customHeight="1" x14ac:dyDescent="0.25"/>
    <row r="419" ht="12" customHeight="1" x14ac:dyDescent="0.25"/>
    <row r="420" ht="12" customHeight="1" x14ac:dyDescent="0.25"/>
    <row r="421" ht="12" customHeight="1" x14ac:dyDescent="0.25"/>
    <row r="422" ht="12" customHeight="1" x14ac:dyDescent="0.25"/>
    <row r="423" ht="12" customHeight="1" x14ac:dyDescent="0.25"/>
    <row r="424" ht="12" customHeight="1" x14ac:dyDescent="0.25"/>
    <row r="425" ht="12" customHeight="1" x14ac:dyDescent="0.25"/>
    <row r="426" ht="12" customHeight="1" x14ac:dyDescent="0.25"/>
    <row r="427" ht="12" customHeight="1" x14ac:dyDescent="0.25"/>
    <row r="428" ht="12" customHeight="1" x14ac:dyDescent="0.25"/>
    <row r="429" ht="12" customHeight="1" x14ac:dyDescent="0.25"/>
    <row r="430" ht="12" customHeight="1" x14ac:dyDescent="0.25"/>
    <row r="431" ht="12" customHeight="1" x14ac:dyDescent="0.25"/>
    <row r="432" ht="12" customHeight="1" x14ac:dyDescent="0.25"/>
    <row r="433" ht="12" customHeight="1" x14ac:dyDescent="0.25"/>
    <row r="434" ht="12" customHeight="1" x14ac:dyDescent="0.25"/>
    <row r="435" ht="12" customHeight="1" x14ac:dyDescent="0.25"/>
    <row r="436" ht="12" customHeight="1" x14ac:dyDescent="0.25"/>
    <row r="437" ht="12" customHeight="1" x14ac:dyDescent="0.25"/>
    <row r="438" ht="12" customHeight="1" x14ac:dyDescent="0.25"/>
    <row r="439" ht="12" customHeight="1" x14ac:dyDescent="0.25"/>
    <row r="440" ht="12" customHeight="1" x14ac:dyDescent="0.25"/>
    <row r="441" ht="12" customHeight="1" x14ac:dyDescent="0.25"/>
    <row r="442" ht="12" customHeight="1" x14ac:dyDescent="0.25"/>
    <row r="443" ht="12" customHeight="1" x14ac:dyDescent="0.25"/>
    <row r="444" ht="12" customHeight="1" x14ac:dyDescent="0.25"/>
    <row r="445" ht="12" customHeight="1" x14ac:dyDescent="0.25"/>
    <row r="446" ht="12" customHeight="1" x14ac:dyDescent="0.25"/>
    <row r="447" ht="12" customHeight="1" x14ac:dyDescent="0.25"/>
    <row r="448" ht="12" customHeight="1" x14ac:dyDescent="0.25"/>
    <row r="449" ht="12" customHeight="1" x14ac:dyDescent="0.25"/>
    <row r="450" ht="12" customHeight="1" x14ac:dyDescent="0.25"/>
    <row r="451" ht="12" customHeight="1" x14ac:dyDescent="0.25"/>
    <row r="452" ht="12" customHeight="1" x14ac:dyDescent="0.25"/>
    <row r="453" ht="12" customHeight="1" x14ac:dyDescent="0.25"/>
    <row r="454" ht="12" customHeight="1" x14ac:dyDescent="0.25"/>
    <row r="455" ht="12" customHeight="1" x14ac:dyDescent="0.25"/>
    <row r="456" ht="12" customHeight="1" x14ac:dyDescent="0.25"/>
    <row r="457" ht="12" customHeight="1" x14ac:dyDescent="0.25"/>
    <row r="458" ht="12" customHeight="1" x14ac:dyDescent="0.25"/>
    <row r="459" ht="12" customHeight="1" x14ac:dyDescent="0.25"/>
    <row r="460" ht="12" customHeight="1" x14ac:dyDescent="0.25"/>
    <row r="461" ht="12" customHeight="1" x14ac:dyDescent="0.25"/>
    <row r="462" ht="12" customHeight="1" x14ac:dyDescent="0.25"/>
    <row r="463" ht="12" customHeight="1" x14ac:dyDescent="0.25"/>
    <row r="464" ht="12" customHeight="1" x14ac:dyDescent="0.25"/>
    <row r="465" ht="12" customHeight="1" x14ac:dyDescent="0.25"/>
    <row r="466" ht="12" customHeight="1" x14ac:dyDescent="0.25"/>
    <row r="467" ht="12" customHeight="1" x14ac:dyDescent="0.25"/>
    <row r="468" ht="12" customHeight="1" x14ac:dyDescent="0.25"/>
    <row r="469" ht="12" customHeight="1" x14ac:dyDescent="0.25"/>
    <row r="470" ht="12" customHeight="1" x14ac:dyDescent="0.25"/>
    <row r="471" ht="12" customHeight="1" x14ac:dyDescent="0.25"/>
    <row r="472" ht="12" customHeight="1" x14ac:dyDescent="0.25"/>
    <row r="473" ht="12" customHeight="1" x14ac:dyDescent="0.25"/>
    <row r="474" ht="12" customHeight="1" x14ac:dyDescent="0.25"/>
    <row r="475" ht="12" customHeight="1" x14ac:dyDescent="0.25"/>
    <row r="476" ht="12" customHeight="1" x14ac:dyDescent="0.25"/>
    <row r="477" ht="12" customHeight="1" x14ac:dyDescent="0.25"/>
    <row r="478" ht="12" customHeight="1" x14ac:dyDescent="0.25"/>
    <row r="479" ht="12" customHeight="1" x14ac:dyDescent="0.25"/>
    <row r="480" ht="12" customHeight="1" x14ac:dyDescent="0.25"/>
    <row r="481" ht="12" customHeight="1" x14ac:dyDescent="0.25"/>
    <row r="482" ht="12" customHeight="1" x14ac:dyDescent="0.25"/>
    <row r="483" ht="12" customHeight="1" x14ac:dyDescent="0.25"/>
    <row r="484" ht="12" customHeight="1" x14ac:dyDescent="0.25"/>
    <row r="485" ht="12" customHeight="1" x14ac:dyDescent="0.25"/>
    <row r="486" ht="12" customHeight="1" x14ac:dyDescent="0.25"/>
    <row r="487" ht="12" customHeight="1" x14ac:dyDescent="0.25"/>
    <row r="488" ht="12" customHeight="1" x14ac:dyDescent="0.25"/>
    <row r="489" ht="12" customHeight="1" x14ac:dyDescent="0.25"/>
    <row r="490" ht="12" customHeight="1" x14ac:dyDescent="0.25"/>
    <row r="491" ht="12" customHeight="1" x14ac:dyDescent="0.25"/>
    <row r="492" ht="12" customHeight="1" x14ac:dyDescent="0.25"/>
    <row r="493" ht="12" customHeight="1" x14ac:dyDescent="0.25"/>
    <row r="494" ht="12" customHeight="1" x14ac:dyDescent="0.25"/>
    <row r="495" ht="12" customHeight="1" x14ac:dyDescent="0.25"/>
    <row r="496" ht="12" customHeight="1" x14ac:dyDescent="0.25"/>
    <row r="497" ht="12" customHeight="1" x14ac:dyDescent="0.25"/>
    <row r="498" ht="12" customHeight="1" x14ac:dyDescent="0.25"/>
    <row r="499" ht="12" customHeight="1" x14ac:dyDescent="0.25"/>
    <row r="500" ht="12" customHeight="1" x14ac:dyDescent="0.25"/>
    <row r="501" ht="12" customHeight="1" x14ac:dyDescent="0.25"/>
    <row r="502" ht="12" customHeight="1" x14ac:dyDescent="0.25"/>
    <row r="503" ht="12" customHeight="1" x14ac:dyDescent="0.25"/>
    <row r="504" ht="12" customHeight="1" x14ac:dyDescent="0.25"/>
    <row r="505" ht="12" customHeight="1" x14ac:dyDescent="0.25"/>
    <row r="506" ht="12" customHeight="1" x14ac:dyDescent="0.25"/>
    <row r="507" ht="12" customHeight="1" x14ac:dyDescent="0.25"/>
    <row r="508" ht="12" customHeight="1" x14ac:dyDescent="0.25"/>
    <row r="509" ht="12" customHeight="1" x14ac:dyDescent="0.25"/>
    <row r="510" ht="12" customHeight="1" x14ac:dyDescent="0.25"/>
    <row r="511" ht="12" customHeight="1" x14ac:dyDescent="0.25"/>
    <row r="512" ht="12" customHeight="1" x14ac:dyDescent="0.25"/>
    <row r="513" ht="12" customHeight="1" x14ac:dyDescent="0.25"/>
    <row r="514" ht="12" customHeight="1" x14ac:dyDescent="0.25"/>
    <row r="515" ht="12" customHeight="1" x14ac:dyDescent="0.25"/>
    <row r="516" ht="12" customHeight="1" x14ac:dyDescent="0.25"/>
    <row r="517" ht="12" customHeight="1" x14ac:dyDescent="0.25"/>
    <row r="518" ht="12" customHeight="1" x14ac:dyDescent="0.25"/>
    <row r="519" ht="12" customHeight="1" x14ac:dyDescent="0.25"/>
    <row r="520" ht="12" customHeight="1" x14ac:dyDescent="0.25"/>
    <row r="521" ht="12" customHeight="1" x14ac:dyDescent="0.25"/>
    <row r="522" ht="12" customHeight="1" x14ac:dyDescent="0.25"/>
    <row r="523" ht="12" customHeight="1" x14ac:dyDescent="0.25"/>
    <row r="524" ht="12" customHeight="1" x14ac:dyDescent="0.25"/>
    <row r="525" ht="12" customHeight="1" x14ac:dyDescent="0.25"/>
    <row r="526" ht="12" customHeight="1" x14ac:dyDescent="0.25"/>
    <row r="527" ht="12" customHeight="1" x14ac:dyDescent="0.25"/>
    <row r="528" ht="12" customHeight="1" x14ac:dyDescent="0.25"/>
    <row r="529" ht="12" customHeight="1" x14ac:dyDescent="0.25"/>
    <row r="530" ht="12" customHeight="1" x14ac:dyDescent="0.25"/>
    <row r="531" ht="12" customHeight="1" x14ac:dyDescent="0.25"/>
    <row r="532" ht="12" customHeight="1" x14ac:dyDescent="0.25"/>
    <row r="533" ht="12" customHeight="1" x14ac:dyDescent="0.25"/>
    <row r="534" ht="12" customHeight="1" x14ac:dyDescent="0.25"/>
    <row r="535" ht="12" customHeight="1" x14ac:dyDescent="0.25"/>
    <row r="536" ht="12" customHeight="1" x14ac:dyDescent="0.25"/>
    <row r="537" ht="12" customHeight="1" x14ac:dyDescent="0.25"/>
    <row r="538" ht="12" customHeight="1" x14ac:dyDescent="0.25"/>
    <row r="539" ht="12" customHeight="1" x14ac:dyDescent="0.25"/>
    <row r="540" ht="12" customHeight="1" x14ac:dyDescent="0.25"/>
    <row r="541" ht="12" customHeight="1" x14ac:dyDescent="0.25"/>
    <row r="542" ht="12" customHeight="1" x14ac:dyDescent="0.25"/>
    <row r="543" ht="12" customHeight="1" x14ac:dyDescent="0.25"/>
    <row r="544" ht="12" customHeight="1" x14ac:dyDescent="0.25"/>
    <row r="545" ht="12" customHeight="1" x14ac:dyDescent="0.25"/>
    <row r="546" ht="12" customHeight="1" x14ac:dyDescent="0.25"/>
    <row r="547" ht="12" customHeight="1" x14ac:dyDescent="0.25"/>
    <row r="548" ht="12" customHeight="1" x14ac:dyDescent="0.25"/>
    <row r="549" ht="12" customHeight="1" x14ac:dyDescent="0.25"/>
    <row r="550" ht="12" customHeight="1" x14ac:dyDescent="0.25"/>
    <row r="551" ht="12" customHeight="1" x14ac:dyDescent="0.25"/>
    <row r="552" ht="12" customHeight="1" x14ac:dyDescent="0.25"/>
    <row r="553" ht="12" customHeight="1" x14ac:dyDescent="0.25"/>
    <row r="554" ht="12" customHeight="1" x14ac:dyDescent="0.25"/>
    <row r="555" ht="12" customHeight="1" x14ac:dyDescent="0.25"/>
    <row r="556" ht="12" customHeight="1" x14ac:dyDescent="0.25"/>
    <row r="557" ht="12" customHeight="1" x14ac:dyDescent="0.25"/>
    <row r="558" ht="12" customHeight="1" x14ac:dyDescent="0.25"/>
    <row r="559" ht="12" customHeight="1" x14ac:dyDescent="0.25"/>
    <row r="560" ht="12" customHeight="1" x14ac:dyDescent="0.25"/>
    <row r="561" ht="12" customHeight="1" x14ac:dyDescent="0.25"/>
    <row r="562" ht="12" customHeight="1" x14ac:dyDescent="0.25"/>
    <row r="563" ht="12" customHeight="1" x14ac:dyDescent="0.25"/>
    <row r="564" ht="12" customHeight="1" x14ac:dyDescent="0.25"/>
    <row r="565" ht="12" customHeight="1" x14ac:dyDescent="0.25"/>
    <row r="566" ht="12" customHeight="1" x14ac:dyDescent="0.25"/>
    <row r="567" ht="12" customHeight="1" x14ac:dyDescent="0.25"/>
    <row r="568" ht="12" customHeight="1" x14ac:dyDescent="0.25"/>
    <row r="569" ht="12" customHeight="1" x14ac:dyDescent="0.25"/>
    <row r="570" ht="12" customHeight="1" x14ac:dyDescent="0.25"/>
    <row r="571" ht="12" customHeight="1" x14ac:dyDescent="0.25"/>
    <row r="572" ht="12" customHeight="1" x14ac:dyDescent="0.25"/>
    <row r="573" ht="12" customHeight="1" x14ac:dyDescent="0.25"/>
    <row r="574" ht="12" customHeight="1" x14ac:dyDescent="0.25"/>
    <row r="575" ht="12" customHeight="1" x14ac:dyDescent="0.25"/>
    <row r="576" ht="12" customHeight="1" x14ac:dyDescent="0.25"/>
    <row r="577" ht="12" customHeight="1" x14ac:dyDescent="0.25"/>
    <row r="578" ht="12" customHeight="1" x14ac:dyDescent="0.25"/>
    <row r="579" ht="12" customHeight="1" x14ac:dyDescent="0.25"/>
    <row r="580" ht="12" customHeight="1" x14ac:dyDescent="0.25"/>
    <row r="581" ht="12" customHeight="1" x14ac:dyDescent="0.25"/>
    <row r="582" ht="12" customHeight="1" x14ac:dyDescent="0.25"/>
    <row r="583" ht="12" customHeight="1" x14ac:dyDescent="0.25"/>
    <row r="584" ht="12" customHeight="1" x14ac:dyDescent="0.25"/>
    <row r="585" ht="12" customHeight="1" x14ac:dyDescent="0.25"/>
    <row r="586" ht="12" customHeight="1" x14ac:dyDescent="0.25"/>
    <row r="587" ht="12" customHeight="1" x14ac:dyDescent="0.25"/>
    <row r="588" ht="12" customHeight="1" x14ac:dyDescent="0.25"/>
    <row r="589" ht="12" customHeight="1" x14ac:dyDescent="0.25"/>
    <row r="590" ht="12" customHeight="1" x14ac:dyDescent="0.25"/>
    <row r="591" ht="12" customHeight="1" x14ac:dyDescent="0.25"/>
    <row r="592" ht="12" customHeight="1" x14ac:dyDescent="0.25"/>
    <row r="593" ht="12" customHeight="1" x14ac:dyDescent="0.25"/>
    <row r="594" ht="12" customHeight="1" x14ac:dyDescent="0.25"/>
    <row r="595" ht="12" customHeight="1" x14ac:dyDescent="0.25"/>
    <row r="596" ht="12" customHeight="1" x14ac:dyDescent="0.25"/>
    <row r="597" ht="12" customHeight="1" x14ac:dyDescent="0.25"/>
    <row r="598" ht="12" customHeight="1" x14ac:dyDescent="0.25"/>
    <row r="599" ht="12" customHeight="1" x14ac:dyDescent="0.25"/>
    <row r="600" ht="12" customHeight="1" x14ac:dyDescent="0.25"/>
    <row r="601" ht="12" customHeight="1" x14ac:dyDescent="0.25"/>
    <row r="602" ht="12" customHeight="1" x14ac:dyDescent="0.25"/>
    <row r="603" ht="12" customHeight="1" x14ac:dyDescent="0.25"/>
    <row r="604" ht="12" customHeight="1" x14ac:dyDescent="0.25"/>
    <row r="605" ht="12" customHeight="1" x14ac:dyDescent="0.25"/>
    <row r="606" ht="12" customHeight="1" x14ac:dyDescent="0.25"/>
    <row r="607" ht="12" customHeight="1" x14ac:dyDescent="0.25"/>
    <row r="608" ht="12" customHeight="1" x14ac:dyDescent="0.25"/>
    <row r="609" ht="12" customHeight="1" x14ac:dyDescent="0.25"/>
    <row r="610" ht="12" customHeight="1" x14ac:dyDescent="0.25"/>
    <row r="611" ht="12" customHeight="1" x14ac:dyDescent="0.25"/>
    <row r="612" ht="12" customHeight="1" x14ac:dyDescent="0.25"/>
    <row r="613" ht="12" customHeight="1" x14ac:dyDescent="0.25"/>
    <row r="614" ht="12" customHeight="1" x14ac:dyDescent="0.25"/>
    <row r="615" ht="12" customHeight="1" x14ac:dyDescent="0.25"/>
    <row r="616" ht="12" customHeight="1" x14ac:dyDescent="0.25"/>
    <row r="617" ht="12" customHeight="1" x14ac:dyDescent="0.25"/>
    <row r="618" ht="12" customHeight="1" x14ac:dyDescent="0.25"/>
    <row r="619" ht="12" customHeight="1" x14ac:dyDescent="0.25"/>
    <row r="620" ht="12" customHeight="1" x14ac:dyDescent="0.25"/>
    <row r="621" ht="12" customHeight="1" x14ac:dyDescent="0.25"/>
    <row r="622" ht="12" customHeight="1" x14ac:dyDescent="0.25"/>
    <row r="623" ht="12" customHeight="1" x14ac:dyDescent="0.25"/>
    <row r="624" ht="12" customHeight="1" x14ac:dyDescent="0.25"/>
    <row r="625" ht="12" customHeight="1" x14ac:dyDescent="0.25"/>
    <row r="626" ht="12" customHeight="1" x14ac:dyDescent="0.25"/>
    <row r="627" ht="12" customHeight="1" x14ac:dyDescent="0.25"/>
    <row r="628" ht="12" customHeight="1" x14ac:dyDescent="0.25"/>
    <row r="629" ht="12" customHeight="1" x14ac:dyDescent="0.25"/>
    <row r="630" ht="12" customHeight="1" x14ac:dyDescent="0.25"/>
    <row r="631" ht="12" customHeight="1" x14ac:dyDescent="0.25"/>
    <row r="632" ht="12" customHeight="1" x14ac:dyDescent="0.25"/>
    <row r="633" ht="12" customHeight="1" x14ac:dyDescent="0.25"/>
    <row r="634" ht="12" customHeight="1" x14ac:dyDescent="0.25"/>
    <row r="635" ht="12" customHeight="1" x14ac:dyDescent="0.25"/>
    <row r="636" ht="12" customHeight="1" x14ac:dyDescent="0.25"/>
    <row r="637" ht="12" customHeight="1" x14ac:dyDescent="0.25"/>
    <row r="638" ht="12" customHeight="1" x14ac:dyDescent="0.25"/>
    <row r="639" ht="12" customHeight="1" x14ac:dyDescent="0.25"/>
    <row r="640" ht="12" customHeight="1" x14ac:dyDescent="0.25"/>
    <row r="641" ht="12" customHeight="1" x14ac:dyDescent="0.25"/>
    <row r="642" ht="12" customHeight="1" x14ac:dyDescent="0.25"/>
    <row r="643" ht="12" customHeight="1" x14ac:dyDescent="0.25"/>
    <row r="644" ht="12" customHeight="1" x14ac:dyDescent="0.25"/>
    <row r="645" ht="12" customHeight="1" x14ac:dyDescent="0.25"/>
    <row r="646" ht="12" customHeight="1" x14ac:dyDescent="0.25"/>
    <row r="647" ht="12" customHeight="1" x14ac:dyDescent="0.25"/>
    <row r="648" ht="12" customHeight="1" x14ac:dyDescent="0.25"/>
    <row r="649" ht="12" customHeight="1" x14ac:dyDescent="0.25"/>
    <row r="650" ht="12" customHeight="1" x14ac:dyDescent="0.25"/>
    <row r="651" ht="12" customHeight="1" x14ac:dyDescent="0.25"/>
    <row r="652" ht="12" customHeight="1" x14ac:dyDescent="0.25"/>
    <row r="653" ht="12" customHeight="1" x14ac:dyDescent="0.25"/>
    <row r="654" ht="12" customHeight="1" x14ac:dyDescent="0.25"/>
    <row r="655" ht="12" customHeight="1" x14ac:dyDescent="0.25"/>
    <row r="656" ht="12" customHeight="1" x14ac:dyDescent="0.25"/>
    <row r="657" ht="12" customHeight="1" x14ac:dyDescent="0.25"/>
    <row r="658" ht="12" customHeight="1" x14ac:dyDescent="0.25"/>
    <row r="659" ht="12" customHeight="1" x14ac:dyDescent="0.25"/>
    <row r="660" ht="12" customHeight="1" x14ac:dyDescent="0.25"/>
    <row r="661" ht="12" customHeight="1" x14ac:dyDescent="0.25"/>
    <row r="662" ht="12" customHeight="1" x14ac:dyDescent="0.25"/>
    <row r="663" ht="12" customHeight="1" x14ac:dyDescent="0.25"/>
    <row r="664" ht="12" customHeight="1" x14ac:dyDescent="0.25"/>
    <row r="665" ht="12" customHeight="1" x14ac:dyDescent="0.25"/>
    <row r="666" ht="12" customHeight="1" x14ac:dyDescent="0.25"/>
    <row r="667" ht="12" customHeight="1" x14ac:dyDescent="0.25"/>
    <row r="668" ht="12" customHeight="1" x14ac:dyDescent="0.25"/>
    <row r="669" ht="12" customHeight="1" x14ac:dyDescent="0.25"/>
    <row r="670" ht="12" customHeight="1" x14ac:dyDescent="0.25"/>
    <row r="671" ht="12" customHeight="1" x14ac:dyDescent="0.25"/>
    <row r="672" ht="12" customHeight="1" x14ac:dyDescent="0.25"/>
    <row r="673" ht="12" customHeight="1" x14ac:dyDescent="0.25"/>
    <row r="674" ht="12" customHeight="1" x14ac:dyDescent="0.25"/>
    <row r="675" ht="12" customHeight="1" x14ac:dyDescent="0.25"/>
    <row r="676" ht="12" customHeight="1" x14ac:dyDescent="0.25"/>
    <row r="677" ht="12" customHeight="1" x14ac:dyDescent="0.25"/>
    <row r="678" ht="12" customHeight="1" x14ac:dyDescent="0.25"/>
    <row r="679" ht="12" customHeight="1" x14ac:dyDescent="0.25"/>
    <row r="680" ht="12" customHeight="1" x14ac:dyDescent="0.25"/>
    <row r="681" ht="12" customHeight="1" x14ac:dyDescent="0.25"/>
    <row r="682" ht="12" customHeight="1" x14ac:dyDescent="0.25"/>
    <row r="683" ht="12" customHeight="1" x14ac:dyDescent="0.25"/>
    <row r="684" ht="12" customHeight="1" x14ac:dyDescent="0.25"/>
    <row r="685" ht="12" customHeight="1" x14ac:dyDescent="0.25"/>
    <row r="686" ht="12" customHeight="1" x14ac:dyDescent="0.25"/>
    <row r="687" ht="12" customHeight="1" x14ac:dyDescent="0.25"/>
    <row r="688" ht="12" customHeight="1" x14ac:dyDescent="0.25"/>
    <row r="689" ht="12" customHeight="1" x14ac:dyDescent="0.25"/>
    <row r="690" ht="12" customHeight="1" x14ac:dyDescent="0.25"/>
    <row r="691" ht="12" customHeight="1" x14ac:dyDescent="0.25"/>
    <row r="692" ht="12" customHeight="1" x14ac:dyDescent="0.25"/>
    <row r="693" ht="12" customHeight="1" x14ac:dyDescent="0.25"/>
    <row r="694" ht="12" customHeight="1" x14ac:dyDescent="0.25"/>
    <row r="695" ht="12" customHeight="1" x14ac:dyDescent="0.25"/>
    <row r="696" ht="12" customHeight="1" x14ac:dyDescent="0.25"/>
    <row r="697" ht="12" customHeight="1" x14ac:dyDescent="0.25"/>
    <row r="698" ht="12" customHeight="1" x14ac:dyDescent="0.25"/>
    <row r="699" ht="12" customHeight="1" x14ac:dyDescent="0.25"/>
    <row r="700" ht="12" customHeight="1" x14ac:dyDescent="0.25"/>
    <row r="701" ht="12" customHeight="1" x14ac:dyDescent="0.25"/>
    <row r="702" ht="12" customHeight="1" x14ac:dyDescent="0.25"/>
    <row r="703" ht="12" customHeight="1" x14ac:dyDescent="0.25"/>
    <row r="704" ht="12" customHeight="1" x14ac:dyDescent="0.25"/>
    <row r="705" ht="12" customHeight="1" x14ac:dyDescent="0.25"/>
    <row r="706" ht="12" customHeight="1" x14ac:dyDescent="0.25"/>
    <row r="707" ht="12" customHeight="1" x14ac:dyDescent="0.25"/>
    <row r="708" ht="12" customHeight="1" x14ac:dyDescent="0.25"/>
    <row r="709" ht="12" customHeight="1" x14ac:dyDescent="0.25"/>
    <row r="710" ht="12" customHeight="1" x14ac:dyDescent="0.25"/>
    <row r="711" ht="12" customHeight="1" x14ac:dyDescent="0.25"/>
    <row r="712" ht="12" customHeight="1" x14ac:dyDescent="0.25"/>
    <row r="713" ht="12" customHeight="1" x14ac:dyDescent="0.25"/>
    <row r="714" ht="12" customHeight="1" x14ac:dyDescent="0.25"/>
    <row r="715" ht="12" customHeight="1" x14ac:dyDescent="0.25"/>
    <row r="716" ht="12" customHeight="1" x14ac:dyDescent="0.25"/>
    <row r="717" ht="12" customHeight="1" x14ac:dyDescent="0.25"/>
    <row r="718" ht="12" customHeight="1" x14ac:dyDescent="0.25"/>
    <row r="719" ht="12" customHeight="1" x14ac:dyDescent="0.25"/>
    <row r="720" ht="12" customHeight="1" x14ac:dyDescent="0.25"/>
    <row r="721" ht="12" customHeight="1" x14ac:dyDescent="0.25"/>
    <row r="722" ht="12" customHeight="1" x14ac:dyDescent="0.25"/>
    <row r="723" ht="12" customHeight="1" x14ac:dyDescent="0.25"/>
    <row r="724" ht="12" customHeight="1" x14ac:dyDescent="0.25"/>
    <row r="725" ht="12" customHeight="1" x14ac:dyDescent="0.25"/>
    <row r="726" ht="12" customHeight="1" x14ac:dyDescent="0.25"/>
    <row r="727" ht="12" customHeight="1" x14ac:dyDescent="0.25"/>
    <row r="728" ht="12" customHeight="1" x14ac:dyDescent="0.25"/>
    <row r="729" ht="12" customHeight="1" x14ac:dyDescent="0.25"/>
    <row r="730" ht="12" customHeight="1" x14ac:dyDescent="0.25"/>
    <row r="731" ht="12" customHeight="1" x14ac:dyDescent="0.25"/>
    <row r="732" ht="12" customHeight="1" x14ac:dyDescent="0.25"/>
    <row r="733" ht="12" customHeight="1" x14ac:dyDescent="0.25"/>
    <row r="734" ht="12" customHeight="1" x14ac:dyDescent="0.25"/>
    <row r="735" ht="12" customHeight="1" x14ac:dyDescent="0.25"/>
    <row r="736" ht="12" customHeight="1" x14ac:dyDescent="0.25"/>
    <row r="737" ht="12" customHeight="1" x14ac:dyDescent="0.25"/>
    <row r="738" ht="12" customHeight="1" x14ac:dyDescent="0.25"/>
    <row r="739" ht="12" customHeight="1" x14ac:dyDescent="0.25"/>
    <row r="740" ht="12" customHeight="1" x14ac:dyDescent="0.25"/>
    <row r="741" ht="12" customHeight="1" x14ac:dyDescent="0.25"/>
    <row r="742" ht="12" customHeight="1" x14ac:dyDescent="0.25"/>
    <row r="743" ht="12" customHeight="1" x14ac:dyDescent="0.25"/>
    <row r="744" ht="12" customHeight="1" x14ac:dyDescent="0.25"/>
    <row r="745" ht="12" customHeight="1" x14ac:dyDescent="0.25"/>
    <row r="746" ht="12" customHeight="1" x14ac:dyDescent="0.25"/>
    <row r="747" ht="12" customHeight="1" x14ac:dyDescent="0.25"/>
    <row r="748" ht="12" customHeight="1" x14ac:dyDescent="0.25"/>
    <row r="749" ht="12" customHeight="1" x14ac:dyDescent="0.25"/>
    <row r="750" ht="12" customHeight="1" x14ac:dyDescent="0.25"/>
    <row r="751" ht="12" customHeight="1" x14ac:dyDescent="0.25"/>
    <row r="752" ht="12" customHeight="1" x14ac:dyDescent="0.25"/>
    <row r="753" ht="12" customHeight="1" x14ac:dyDescent="0.25"/>
    <row r="754" ht="12" customHeight="1" x14ac:dyDescent="0.25"/>
    <row r="755" ht="12" customHeight="1" x14ac:dyDescent="0.25"/>
    <row r="756" ht="12" customHeight="1" x14ac:dyDescent="0.25"/>
    <row r="757" ht="12" customHeight="1" x14ac:dyDescent="0.25"/>
    <row r="758" ht="12" customHeight="1" x14ac:dyDescent="0.25"/>
    <row r="759" ht="12" customHeight="1" x14ac:dyDescent="0.25"/>
    <row r="760" ht="12" customHeight="1" x14ac:dyDescent="0.25"/>
    <row r="761" ht="12" customHeight="1" x14ac:dyDescent="0.25"/>
    <row r="762" ht="12" customHeight="1" x14ac:dyDescent="0.25"/>
    <row r="763" ht="12" customHeight="1" x14ac:dyDescent="0.25"/>
    <row r="764" ht="12" customHeight="1" x14ac:dyDescent="0.25"/>
    <row r="765" ht="12" customHeight="1" x14ac:dyDescent="0.25"/>
    <row r="766" ht="12" customHeight="1" x14ac:dyDescent="0.25"/>
    <row r="767" ht="12" customHeight="1" x14ac:dyDescent="0.25"/>
    <row r="768" ht="12" customHeight="1" x14ac:dyDescent="0.25"/>
    <row r="769" ht="12" customHeight="1" x14ac:dyDescent="0.25"/>
    <row r="770" ht="12" customHeight="1" x14ac:dyDescent="0.25"/>
    <row r="771" ht="12" customHeight="1" x14ac:dyDescent="0.25"/>
    <row r="772" ht="12" customHeight="1" x14ac:dyDescent="0.25"/>
    <row r="773" ht="12" customHeight="1" x14ac:dyDescent="0.25"/>
    <row r="774" ht="12" customHeight="1" x14ac:dyDescent="0.25"/>
    <row r="775" ht="12" customHeight="1" x14ac:dyDescent="0.25"/>
    <row r="776" ht="12" customHeight="1" x14ac:dyDescent="0.25"/>
    <row r="777" ht="12" customHeight="1" x14ac:dyDescent="0.25"/>
    <row r="778" ht="12" customHeight="1" x14ac:dyDescent="0.25"/>
    <row r="779" ht="12" customHeight="1" x14ac:dyDescent="0.25"/>
    <row r="780" ht="12" customHeight="1" x14ac:dyDescent="0.25"/>
    <row r="781" ht="12" customHeight="1" x14ac:dyDescent="0.25"/>
    <row r="782" ht="12" customHeight="1" x14ac:dyDescent="0.25"/>
    <row r="783" ht="12" customHeight="1" x14ac:dyDescent="0.25"/>
    <row r="784" ht="12" customHeight="1" x14ac:dyDescent="0.25"/>
    <row r="785" ht="12" customHeight="1" x14ac:dyDescent="0.25"/>
    <row r="786" ht="12" customHeight="1" x14ac:dyDescent="0.25"/>
    <row r="787" ht="12" customHeight="1" x14ac:dyDescent="0.25"/>
    <row r="788" ht="12" customHeight="1" x14ac:dyDescent="0.25"/>
    <row r="789" ht="12" customHeight="1" x14ac:dyDescent="0.25"/>
    <row r="790" ht="12" customHeight="1" x14ac:dyDescent="0.25"/>
    <row r="791" ht="12" customHeight="1" x14ac:dyDescent="0.25"/>
    <row r="792" ht="12" customHeight="1" x14ac:dyDescent="0.25"/>
    <row r="793" ht="12" customHeight="1" x14ac:dyDescent="0.25"/>
    <row r="794" ht="12" customHeight="1" x14ac:dyDescent="0.25"/>
    <row r="795" ht="12" customHeight="1" x14ac:dyDescent="0.25"/>
    <row r="796" ht="12" customHeight="1" x14ac:dyDescent="0.25"/>
    <row r="797" ht="12" customHeight="1" x14ac:dyDescent="0.25"/>
    <row r="798" ht="12" customHeight="1" x14ac:dyDescent="0.25"/>
    <row r="799" ht="12" customHeight="1" x14ac:dyDescent="0.25"/>
    <row r="800" ht="12" customHeight="1" x14ac:dyDescent="0.25"/>
    <row r="801" ht="12" customHeight="1" x14ac:dyDescent="0.25"/>
    <row r="802" ht="12" customHeight="1" x14ac:dyDescent="0.25"/>
    <row r="803" ht="12" customHeight="1" x14ac:dyDescent="0.25"/>
    <row r="804" ht="12" customHeight="1" x14ac:dyDescent="0.25"/>
    <row r="805" ht="12" customHeight="1" x14ac:dyDescent="0.25"/>
    <row r="806" ht="12" customHeight="1" x14ac:dyDescent="0.25"/>
    <row r="807" ht="12" customHeight="1" x14ac:dyDescent="0.25"/>
    <row r="808" ht="12" customHeight="1" x14ac:dyDescent="0.25"/>
    <row r="809" ht="12" customHeight="1" x14ac:dyDescent="0.25"/>
    <row r="810" ht="12" customHeight="1" x14ac:dyDescent="0.25"/>
    <row r="811" ht="12" customHeight="1" x14ac:dyDescent="0.25"/>
    <row r="812" ht="12" customHeight="1" x14ac:dyDescent="0.25"/>
    <row r="813" ht="12" customHeight="1" x14ac:dyDescent="0.25"/>
    <row r="814" ht="12" customHeight="1" x14ac:dyDescent="0.25"/>
    <row r="815" ht="12" customHeight="1" x14ac:dyDescent="0.25"/>
    <row r="816" ht="12" customHeight="1" x14ac:dyDescent="0.25"/>
    <row r="817" ht="12" customHeight="1" x14ac:dyDescent="0.25"/>
    <row r="818" ht="12" customHeight="1" x14ac:dyDescent="0.25"/>
    <row r="819" ht="12" customHeight="1" x14ac:dyDescent="0.25"/>
    <row r="820" ht="12" customHeight="1" x14ac:dyDescent="0.25"/>
    <row r="821" ht="12" customHeight="1" x14ac:dyDescent="0.25"/>
    <row r="822" ht="12" customHeight="1" x14ac:dyDescent="0.25"/>
    <row r="823" ht="12" customHeight="1" x14ac:dyDescent="0.25"/>
    <row r="824" ht="12" customHeight="1" x14ac:dyDescent="0.25"/>
    <row r="825" ht="12" customHeight="1" x14ac:dyDescent="0.25"/>
    <row r="826" ht="12" customHeight="1" x14ac:dyDescent="0.25"/>
    <row r="827" ht="12" customHeight="1" x14ac:dyDescent="0.25"/>
    <row r="828" ht="12" customHeight="1" x14ac:dyDescent="0.25"/>
    <row r="829" ht="12" customHeight="1" x14ac:dyDescent="0.25"/>
    <row r="830" ht="12" customHeight="1" x14ac:dyDescent="0.25"/>
    <row r="831" ht="12" customHeight="1" x14ac:dyDescent="0.25"/>
    <row r="832" ht="12" customHeight="1" x14ac:dyDescent="0.25"/>
    <row r="833" ht="12" customHeight="1" x14ac:dyDescent="0.25"/>
    <row r="834" ht="12" customHeight="1" x14ac:dyDescent="0.25"/>
    <row r="835" ht="12" customHeight="1" x14ac:dyDescent="0.25"/>
    <row r="836" ht="12" customHeight="1" x14ac:dyDescent="0.25"/>
    <row r="837" ht="12" customHeight="1" x14ac:dyDescent="0.25"/>
    <row r="838" ht="12" customHeight="1" x14ac:dyDescent="0.25"/>
    <row r="839" ht="12" customHeight="1" x14ac:dyDescent="0.25"/>
    <row r="840" ht="12" customHeight="1" x14ac:dyDescent="0.25"/>
    <row r="841" ht="12" customHeight="1" x14ac:dyDescent="0.25"/>
    <row r="842" ht="12" customHeight="1" x14ac:dyDescent="0.25"/>
    <row r="843" ht="12" customHeight="1" x14ac:dyDescent="0.25"/>
    <row r="844" ht="12" customHeight="1" x14ac:dyDescent="0.25"/>
    <row r="845" ht="12" customHeight="1" x14ac:dyDescent="0.25"/>
    <row r="846" ht="12" customHeight="1" x14ac:dyDescent="0.25"/>
    <row r="847" ht="12" customHeight="1" x14ac:dyDescent="0.25"/>
    <row r="848" ht="12" customHeight="1" x14ac:dyDescent="0.25"/>
    <row r="849" ht="12" customHeight="1" x14ac:dyDescent="0.25"/>
    <row r="850" ht="12" customHeight="1" x14ac:dyDescent="0.25"/>
    <row r="851" ht="12" customHeight="1" x14ac:dyDescent="0.25"/>
    <row r="852" ht="12" customHeight="1" x14ac:dyDescent="0.25"/>
    <row r="853" ht="12" customHeight="1" x14ac:dyDescent="0.25"/>
    <row r="854" ht="12" customHeight="1" x14ac:dyDescent="0.25"/>
    <row r="855" ht="12" customHeight="1" x14ac:dyDescent="0.25"/>
    <row r="856" ht="12" customHeight="1" x14ac:dyDescent="0.25"/>
    <row r="857" ht="12" customHeight="1" x14ac:dyDescent="0.25"/>
    <row r="858" ht="12" customHeight="1" x14ac:dyDescent="0.25"/>
    <row r="859" ht="12" customHeight="1" x14ac:dyDescent="0.25"/>
    <row r="860" ht="12" customHeight="1" x14ac:dyDescent="0.25"/>
    <row r="861" ht="12" customHeight="1" x14ac:dyDescent="0.25"/>
    <row r="862" ht="12" customHeight="1" x14ac:dyDescent="0.25"/>
    <row r="863" ht="12" customHeight="1" x14ac:dyDescent="0.25"/>
    <row r="864" ht="12" customHeight="1" x14ac:dyDescent="0.25"/>
    <row r="865" ht="12" customHeight="1" x14ac:dyDescent="0.25"/>
    <row r="866" ht="12" customHeight="1" x14ac:dyDescent="0.25"/>
    <row r="867" ht="12" customHeight="1" x14ac:dyDescent="0.25"/>
    <row r="868" ht="12" customHeight="1" x14ac:dyDescent="0.25"/>
    <row r="869" ht="12" customHeight="1" x14ac:dyDescent="0.25"/>
    <row r="870" ht="12" customHeight="1" x14ac:dyDescent="0.25"/>
    <row r="871" ht="12" customHeight="1" x14ac:dyDescent="0.25"/>
    <row r="872" ht="12" customHeight="1" x14ac:dyDescent="0.25"/>
    <row r="873" ht="12" customHeight="1" x14ac:dyDescent="0.25"/>
    <row r="874" ht="12" customHeight="1" x14ac:dyDescent="0.25"/>
    <row r="875" ht="12" customHeight="1" x14ac:dyDescent="0.25"/>
    <row r="876" ht="12" customHeight="1" x14ac:dyDescent="0.25"/>
    <row r="877" ht="12" customHeight="1" x14ac:dyDescent="0.25"/>
    <row r="878" ht="12" customHeight="1" x14ac:dyDescent="0.25"/>
    <row r="879" ht="12" customHeight="1" x14ac:dyDescent="0.25"/>
    <row r="880" ht="12" customHeight="1" x14ac:dyDescent="0.25"/>
    <row r="881" ht="12" customHeight="1" x14ac:dyDescent="0.25"/>
    <row r="882" ht="12" customHeight="1" x14ac:dyDescent="0.25"/>
    <row r="883" ht="12" customHeight="1" x14ac:dyDescent="0.25"/>
    <row r="884" ht="12" customHeight="1" x14ac:dyDescent="0.25"/>
    <row r="885" ht="12" customHeight="1" x14ac:dyDescent="0.25"/>
    <row r="886" ht="12" customHeight="1" x14ac:dyDescent="0.25"/>
    <row r="887" ht="12" customHeight="1" x14ac:dyDescent="0.25"/>
    <row r="888" ht="12" customHeight="1" x14ac:dyDescent="0.25"/>
    <row r="889" ht="12" customHeight="1" x14ac:dyDescent="0.25"/>
    <row r="890" ht="12" customHeight="1" x14ac:dyDescent="0.25"/>
    <row r="891" ht="12" customHeight="1" x14ac:dyDescent="0.25"/>
    <row r="892" ht="12" customHeight="1" x14ac:dyDescent="0.25"/>
    <row r="893" ht="12" customHeight="1" x14ac:dyDescent="0.25"/>
    <row r="894" ht="12" customHeight="1" x14ac:dyDescent="0.25"/>
    <row r="895" ht="12" customHeight="1" x14ac:dyDescent="0.25"/>
    <row r="896" ht="12" customHeight="1" x14ac:dyDescent="0.25"/>
    <row r="897" ht="12" customHeight="1" x14ac:dyDescent="0.25"/>
    <row r="898" ht="12" customHeight="1" x14ac:dyDescent="0.25"/>
    <row r="899" ht="12" customHeight="1" x14ac:dyDescent="0.25"/>
    <row r="900" ht="12" customHeight="1" x14ac:dyDescent="0.25"/>
    <row r="901" ht="12" customHeight="1" x14ac:dyDescent="0.25"/>
    <row r="902" ht="12" customHeight="1" x14ac:dyDescent="0.25"/>
    <row r="903" ht="12" customHeight="1" x14ac:dyDescent="0.25"/>
    <row r="904" ht="12" customHeight="1" x14ac:dyDescent="0.25"/>
    <row r="905" ht="12" customHeight="1" x14ac:dyDescent="0.25"/>
    <row r="906" ht="12" customHeight="1" x14ac:dyDescent="0.25"/>
    <row r="907" ht="12" customHeight="1" x14ac:dyDescent="0.25"/>
    <row r="908" ht="12" customHeight="1" x14ac:dyDescent="0.25"/>
    <row r="909" ht="12" customHeight="1" x14ac:dyDescent="0.25"/>
    <row r="910" ht="12" customHeight="1" x14ac:dyDescent="0.25"/>
    <row r="911" ht="12" customHeight="1" x14ac:dyDescent="0.25"/>
    <row r="912" ht="12" customHeight="1" x14ac:dyDescent="0.25"/>
    <row r="913" ht="12" customHeight="1" x14ac:dyDescent="0.25"/>
    <row r="914" ht="12" customHeight="1" x14ac:dyDescent="0.25"/>
    <row r="915" ht="12" customHeight="1" x14ac:dyDescent="0.25"/>
    <row r="916" ht="12" customHeight="1" x14ac:dyDescent="0.25"/>
    <row r="917" ht="12" customHeight="1" x14ac:dyDescent="0.25"/>
    <row r="918" ht="12" customHeight="1" x14ac:dyDescent="0.25"/>
    <row r="919" ht="12" customHeight="1" x14ac:dyDescent="0.25"/>
    <row r="920" ht="12" customHeight="1" x14ac:dyDescent="0.25"/>
    <row r="921" ht="12" customHeight="1" x14ac:dyDescent="0.25"/>
    <row r="922" ht="12" customHeight="1" x14ac:dyDescent="0.25"/>
    <row r="923" ht="12" customHeight="1" x14ac:dyDescent="0.25"/>
    <row r="924" ht="12" customHeight="1" x14ac:dyDescent="0.25"/>
    <row r="925" ht="12" customHeight="1" x14ac:dyDescent="0.25"/>
    <row r="926" ht="12" customHeight="1" x14ac:dyDescent="0.25"/>
    <row r="927" ht="12" customHeight="1" x14ac:dyDescent="0.25"/>
    <row r="928" ht="12" customHeight="1" x14ac:dyDescent="0.25"/>
    <row r="929" ht="12" customHeight="1" x14ac:dyDescent="0.25"/>
    <row r="930" ht="12" customHeight="1" x14ac:dyDescent="0.25"/>
    <row r="931" ht="12" customHeight="1" x14ac:dyDescent="0.25"/>
    <row r="932" ht="12" customHeight="1" x14ac:dyDescent="0.25"/>
    <row r="933" ht="12" customHeight="1" x14ac:dyDescent="0.25"/>
    <row r="934" ht="12" customHeight="1" x14ac:dyDescent="0.25"/>
    <row r="935" ht="12" customHeight="1" x14ac:dyDescent="0.25"/>
    <row r="936" ht="12" customHeight="1" x14ac:dyDescent="0.25"/>
    <row r="937" ht="12" customHeight="1" x14ac:dyDescent="0.25"/>
    <row r="938" ht="12" customHeight="1" x14ac:dyDescent="0.25"/>
    <row r="939" ht="12" customHeight="1" x14ac:dyDescent="0.25"/>
    <row r="940" ht="12" customHeight="1" x14ac:dyDescent="0.25"/>
    <row r="941" ht="12" customHeight="1" x14ac:dyDescent="0.25"/>
    <row r="942" ht="12" customHeight="1" x14ac:dyDescent="0.25"/>
    <row r="943" ht="12" customHeight="1" x14ac:dyDescent="0.25"/>
    <row r="944" ht="12" customHeight="1" x14ac:dyDescent="0.25"/>
    <row r="945" ht="12" customHeight="1" x14ac:dyDescent="0.25"/>
    <row r="946" ht="12" customHeight="1" x14ac:dyDescent="0.25"/>
    <row r="947" ht="12" customHeight="1" x14ac:dyDescent="0.25"/>
    <row r="948" ht="12" customHeight="1" x14ac:dyDescent="0.25"/>
    <row r="949" ht="12" customHeight="1" x14ac:dyDescent="0.25"/>
    <row r="950" ht="12" customHeight="1" x14ac:dyDescent="0.25"/>
    <row r="951" ht="12" customHeight="1" x14ac:dyDescent="0.25"/>
    <row r="952" ht="12" customHeight="1" x14ac:dyDescent="0.25"/>
    <row r="953" ht="12" customHeight="1" x14ac:dyDescent="0.25"/>
    <row r="954" ht="12" customHeight="1" x14ac:dyDescent="0.25"/>
    <row r="955" ht="12" customHeight="1" x14ac:dyDescent="0.25"/>
    <row r="956" ht="12" customHeight="1" x14ac:dyDescent="0.25"/>
    <row r="957" ht="12" customHeight="1" x14ac:dyDescent="0.25"/>
    <row r="958" ht="12" customHeight="1" x14ac:dyDescent="0.25"/>
    <row r="959" ht="12" customHeight="1" x14ac:dyDescent="0.25"/>
    <row r="960" ht="12" customHeight="1" x14ac:dyDescent="0.25"/>
    <row r="961" ht="12" customHeight="1" x14ac:dyDescent="0.25"/>
    <row r="962" ht="12" customHeight="1" x14ac:dyDescent="0.25"/>
    <row r="963" ht="12" customHeight="1" x14ac:dyDescent="0.25"/>
    <row r="964" ht="12" customHeight="1" x14ac:dyDescent="0.25"/>
    <row r="965" ht="12" customHeight="1" x14ac:dyDescent="0.25"/>
    <row r="966" ht="12" customHeight="1" x14ac:dyDescent="0.25"/>
    <row r="967" ht="12" customHeight="1" x14ac:dyDescent="0.25"/>
    <row r="968" ht="12" customHeight="1" x14ac:dyDescent="0.25"/>
    <row r="969" ht="12" customHeight="1" x14ac:dyDescent="0.25"/>
    <row r="970" ht="12" customHeight="1" x14ac:dyDescent="0.25"/>
    <row r="971" ht="12" customHeight="1" x14ac:dyDescent="0.25"/>
    <row r="972" ht="12" customHeight="1" x14ac:dyDescent="0.25"/>
    <row r="973" ht="12" customHeight="1" x14ac:dyDescent="0.25"/>
    <row r="974" ht="12" customHeight="1" x14ac:dyDescent="0.25"/>
    <row r="975" ht="12" customHeight="1" x14ac:dyDescent="0.25"/>
    <row r="976" ht="12" customHeight="1" x14ac:dyDescent="0.25"/>
    <row r="977" ht="12" customHeight="1" x14ac:dyDescent="0.25"/>
    <row r="978" ht="12" customHeight="1" x14ac:dyDescent="0.25"/>
    <row r="979" ht="12" customHeight="1" x14ac:dyDescent="0.25"/>
    <row r="980" ht="12" customHeight="1" x14ac:dyDescent="0.25"/>
    <row r="981" ht="12" customHeight="1" x14ac:dyDescent="0.25"/>
    <row r="982" ht="12" customHeight="1" x14ac:dyDescent="0.25"/>
    <row r="983" ht="12" customHeight="1" x14ac:dyDescent="0.25"/>
    <row r="984" ht="12" customHeight="1" x14ac:dyDescent="0.25"/>
    <row r="985" ht="12" customHeight="1" x14ac:dyDescent="0.25"/>
    <row r="986" ht="12" customHeight="1" x14ac:dyDescent="0.25"/>
    <row r="987" ht="12" customHeight="1" x14ac:dyDescent="0.25"/>
    <row r="988" ht="12" customHeight="1" x14ac:dyDescent="0.25"/>
    <row r="989" ht="12" customHeight="1" x14ac:dyDescent="0.25"/>
    <row r="990" ht="12" customHeight="1" x14ac:dyDescent="0.25"/>
    <row r="991" ht="12" customHeight="1" x14ac:dyDescent="0.25"/>
    <row r="992" ht="12" customHeight="1" x14ac:dyDescent="0.25"/>
    <row r="993" ht="12" customHeight="1" x14ac:dyDescent="0.25"/>
    <row r="994" ht="12" customHeight="1" x14ac:dyDescent="0.25"/>
    <row r="995" ht="12" customHeight="1" x14ac:dyDescent="0.25"/>
    <row r="996" ht="12" customHeight="1" x14ac:dyDescent="0.25"/>
    <row r="997" ht="12" customHeight="1" x14ac:dyDescent="0.25"/>
    <row r="998" ht="12" customHeight="1" x14ac:dyDescent="0.25"/>
    <row r="999" ht="12" customHeight="1" x14ac:dyDescent="0.25"/>
    <row r="1000" ht="12" customHeight="1" x14ac:dyDescent="0.25"/>
  </sheetData>
  <pageMargins left="0.7" right="0.7" top="0.75" bottom="0.75" header="0" footer="0"/>
  <pageSetup orientation="portrait"/>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CV1000"/>
  <sheetViews>
    <sheetView workbookViewId="0">
      <selection activeCell="B5" sqref="B5"/>
    </sheetView>
  </sheetViews>
  <sheetFormatPr baseColWidth="10" defaultColWidth="12.6328125" defaultRowHeight="15" customHeight="1" x14ac:dyDescent="0.25"/>
  <cols>
    <col min="1" max="1" width="7.453125" customWidth="1"/>
    <col min="2" max="2" width="6" customWidth="1"/>
    <col min="3" max="9" width="5.36328125" customWidth="1"/>
    <col min="10" max="10" width="6" customWidth="1"/>
    <col min="11" max="100" width="5.36328125" customWidth="1"/>
  </cols>
  <sheetData>
    <row r="1" spans="1:100" ht="12" customHeight="1" x14ac:dyDescent="0.25">
      <c r="A1" s="24" t="s">
        <v>39</v>
      </c>
      <c r="B1" s="25">
        <v>3</v>
      </c>
      <c r="C1" s="23"/>
      <c r="D1" s="23"/>
      <c r="E1" s="23"/>
      <c r="F1" s="23"/>
      <c r="G1" s="23"/>
      <c r="H1" s="23"/>
      <c r="I1" s="23"/>
      <c r="J1" s="23"/>
      <c r="K1" s="23"/>
      <c r="L1" s="23"/>
      <c r="M1" s="23"/>
      <c r="N1" s="23"/>
      <c r="O1" s="23"/>
      <c r="P1" s="23"/>
      <c r="Q1" s="23"/>
      <c r="R1" s="23"/>
      <c r="S1" s="23"/>
      <c r="T1" s="23"/>
      <c r="U1" s="23"/>
      <c r="V1" s="23"/>
      <c r="W1" s="23"/>
      <c r="X1" s="23"/>
      <c r="Y1" s="23"/>
      <c r="Z1" s="23"/>
      <c r="AA1" s="23"/>
      <c r="AB1" s="23"/>
      <c r="AC1" s="23"/>
      <c r="AD1" s="23"/>
      <c r="AE1" s="23"/>
      <c r="AF1" s="23"/>
      <c r="AG1" s="23"/>
      <c r="AH1" s="23"/>
      <c r="AI1" s="23"/>
      <c r="AJ1" s="23"/>
      <c r="AK1" s="23"/>
      <c r="AL1" s="23"/>
      <c r="AM1" s="23"/>
      <c r="AN1" s="23"/>
      <c r="AO1" s="23"/>
      <c r="AP1" s="23"/>
      <c r="AQ1" s="23"/>
      <c r="AR1" s="23"/>
      <c r="AS1" s="23"/>
      <c r="AT1" s="23"/>
      <c r="AU1" s="23"/>
      <c r="AV1" s="23"/>
      <c r="AW1" s="23"/>
      <c r="AX1" s="23"/>
      <c r="AY1" s="23"/>
      <c r="AZ1" s="23"/>
      <c r="BA1" s="23"/>
      <c r="BB1" s="23"/>
      <c r="BC1" s="23"/>
      <c r="BD1" s="23"/>
      <c r="BE1" s="23"/>
      <c r="BF1" s="23"/>
      <c r="BG1" s="23"/>
      <c r="BH1" s="23"/>
      <c r="BI1" s="23"/>
      <c r="BJ1" s="23"/>
      <c r="BK1" s="23"/>
      <c r="BL1" s="23"/>
      <c r="BM1" s="23"/>
      <c r="BN1" s="23"/>
      <c r="BO1" s="23"/>
      <c r="BP1" s="23"/>
      <c r="BQ1" s="23"/>
      <c r="BR1" s="23"/>
      <c r="BS1" s="23"/>
      <c r="BT1" s="23"/>
      <c r="BU1" s="23"/>
      <c r="BV1" s="23"/>
      <c r="BW1" s="23"/>
      <c r="BX1" s="23"/>
      <c r="BY1" s="23"/>
      <c r="BZ1" s="23"/>
      <c r="CA1" s="23"/>
      <c r="CB1" s="23"/>
      <c r="CC1" s="23"/>
      <c r="CD1" s="23"/>
      <c r="CE1" s="23"/>
      <c r="CF1" s="23"/>
      <c r="CG1" s="23"/>
      <c r="CH1" s="23"/>
      <c r="CI1" s="23"/>
      <c r="CJ1" s="23"/>
      <c r="CK1" s="23"/>
      <c r="CL1" s="23"/>
      <c r="CM1" s="23"/>
      <c r="CN1" s="23"/>
      <c r="CO1" s="23"/>
      <c r="CP1" s="23"/>
      <c r="CQ1" s="23"/>
      <c r="CR1" s="23"/>
      <c r="CS1" s="23"/>
      <c r="CT1" s="23"/>
      <c r="CU1" s="23"/>
      <c r="CV1" s="23"/>
    </row>
    <row r="2" spans="1:100" ht="12" customHeight="1" x14ac:dyDescent="0.25">
      <c r="A2" s="26" t="s">
        <v>56</v>
      </c>
      <c r="B2" s="26">
        <v>1.1499999999999999</v>
      </c>
      <c r="C2" s="23"/>
      <c r="D2" s="67" t="s">
        <v>57</v>
      </c>
      <c r="E2" s="68"/>
      <c r="F2" s="68"/>
      <c r="G2" s="68"/>
      <c r="H2" s="69"/>
      <c r="I2" s="49" t="s">
        <v>58</v>
      </c>
      <c r="J2" s="23" t="s">
        <v>59</v>
      </c>
      <c r="K2" s="23"/>
      <c r="L2" s="23"/>
      <c r="M2" s="23"/>
      <c r="N2" s="23"/>
      <c r="O2" s="23"/>
      <c r="P2" s="23"/>
      <c r="Q2" s="23"/>
      <c r="R2" s="23"/>
      <c r="S2" s="23"/>
      <c r="T2" s="23"/>
      <c r="U2" s="23"/>
      <c r="V2" s="23"/>
      <c r="W2" s="23"/>
      <c r="X2" s="23"/>
      <c r="Y2" s="23"/>
      <c r="Z2" s="23"/>
      <c r="AA2" s="23"/>
      <c r="AB2" s="23"/>
      <c r="AC2" s="23"/>
      <c r="AD2" s="23"/>
      <c r="AE2" s="23"/>
      <c r="AF2" s="23"/>
      <c r="AG2" s="23"/>
      <c r="AH2" s="23"/>
      <c r="AI2" s="23"/>
      <c r="AJ2" s="23"/>
      <c r="AK2" s="23"/>
      <c r="AL2" s="23"/>
      <c r="AM2" s="23"/>
      <c r="AN2" s="23"/>
      <c r="AO2" s="23"/>
      <c r="AP2" s="23"/>
      <c r="AQ2" s="23"/>
      <c r="AR2" s="23"/>
      <c r="AS2" s="23"/>
      <c r="AT2" s="23"/>
      <c r="AU2" s="23"/>
      <c r="AV2" s="23"/>
      <c r="AW2" s="23"/>
      <c r="AX2" s="23"/>
      <c r="AY2" s="23"/>
      <c r="AZ2" s="23"/>
      <c r="BA2" s="23"/>
      <c r="BB2" s="23"/>
      <c r="BC2" s="23"/>
      <c r="BD2" s="23"/>
      <c r="BE2" s="23"/>
      <c r="BF2" s="23"/>
      <c r="BG2" s="23"/>
      <c r="BH2" s="23"/>
      <c r="BI2" s="23"/>
      <c r="BJ2" s="23"/>
      <c r="BK2" s="23"/>
      <c r="BL2" s="23"/>
      <c r="BM2" s="23"/>
      <c r="BN2" s="23"/>
      <c r="BO2" s="23"/>
      <c r="BP2" s="23"/>
      <c r="BQ2" s="23"/>
      <c r="BR2" s="23"/>
      <c r="BS2" s="23"/>
      <c r="BT2" s="23"/>
      <c r="BU2" s="23"/>
      <c r="BV2" s="23"/>
      <c r="BW2" s="23"/>
      <c r="BX2" s="23"/>
      <c r="BY2" s="23"/>
      <c r="BZ2" s="23"/>
      <c r="CA2" s="23"/>
      <c r="CB2" s="23"/>
      <c r="CC2" s="23"/>
      <c r="CD2" s="23"/>
      <c r="CE2" s="23"/>
      <c r="CF2" s="23"/>
      <c r="CG2" s="23"/>
      <c r="CH2" s="23"/>
      <c r="CI2" s="23"/>
      <c r="CJ2" s="23"/>
      <c r="CK2" s="23"/>
      <c r="CL2" s="23"/>
      <c r="CM2" s="23"/>
      <c r="CN2" s="23"/>
      <c r="CO2" s="23"/>
      <c r="CP2" s="23"/>
      <c r="CQ2" s="23"/>
      <c r="CR2" s="23"/>
      <c r="CS2" s="23"/>
      <c r="CT2" s="23"/>
      <c r="CU2" s="23"/>
      <c r="CV2" s="23"/>
    </row>
    <row r="3" spans="1:100" ht="12" customHeight="1" x14ac:dyDescent="0.25">
      <c r="A3" s="27" t="s">
        <v>41</v>
      </c>
      <c r="B3" s="28">
        <v>0.13400000000000001</v>
      </c>
      <c r="C3" s="23"/>
      <c r="D3" s="67" t="s">
        <v>60</v>
      </c>
      <c r="E3" s="68"/>
      <c r="F3" s="68"/>
      <c r="G3" s="68"/>
      <c r="H3" s="69"/>
      <c r="I3" s="49" t="s">
        <v>58</v>
      </c>
      <c r="J3" s="23" t="s">
        <v>61</v>
      </c>
      <c r="K3" s="23"/>
      <c r="L3" s="23"/>
      <c r="M3" s="23"/>
      <c r="N3" s="23"/>
      <c r="O3" s="23"/>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3"/>
      <c r="AS3" s="23"/>
      <c r="AT3" s="23"/>
      <c r="AU3" s="23"/>
      <c r="AV3" s="23"/>
      <c r="AW3" s="23"/>
      <c r="AX3" s="23"/>
      <c r="AY3" s="23"/>
      <c r="AZ3" s="23"/>
      <c r="BA3" s="23"/>
      <c r="BB3" s="23"/>
      <c r="BC3" s="23"/>
      <c r="BD3" s="23"/>
      <c r="BE3" s="23"/>
      <c r="BF3" s="23"/>
      <c r="BG3" s="23"/>
      <c r="BH3" s="23"/>
      <c r="BI3" s="23"/>
      <c r="BJ3" s="23"/>
      <c r="BK3" s="23"/>
      <c r="BL3" s="23"/>
      <c r="BM3" s="23"/>
      <c r="BN3" s="23"/>
      <c r="BO3" s="23"/>
      <c r="BP3" s="23"/>
      <c r="BQ3" s="23"/>
      <c r="BR3" s="23"/>
      <c r="BS3" s="23"/>
      <c r="BT3" s="23"/>
      <c r="BU3" s="23"/>
      <c r="BV3" s="23"/>
      <c r="BW3" s="23"/>
      <c r="BX3" s="23"/>
      <c r="BY3" s="23"/>
      <c r="BZ3" s="23"/>
      <c r="CA3" s="23"/>
      <c r="CB3" s="23"/>
      <c r="CC3" s="23"/>
      <c r="CD3" s="23"/>
      <c r="CE3" s="23"/>
      <c r="CF3" s="23"/>
      <c r="CG3" s="23"/>
      <c r="CH3" s="23"/>
      <c r="CI3" s="23"/>
      <c r="CJ3" s="23"/>
      <c r="CK3" s="23"/>
      <c r="CL3" s="23"/>
      <c r="CM3" s="23"/>
      <c r="CN3" s="23"/>
      <c r="CO3" s="23"/>
      <c r="CP3" s="23"/>
      <c r="CQ3" s="23"/>
      <c r="CR3" s="23"/>
      <c r="CS3" s="23"/>
      <c r="CT3" s="23"/>
      <c r="CU3" s="23"/>
      <c r="CV3" s="23"/>
    </row>
    <row r="4" spans="1:100" ht="12" customHeight="1" x14ac:dyDescent="0.25">
      <c r="A4" s="27" t="s">
        <v>42</v>
      </c>
      <c r="B4" s="28">
        <v>0.08</v>
      </c>
      <c r="C4" s="37"/>
      <c r="D4" s="23"/>
      <c r="E4" s="23"/>
      <c r="F4" s="23"/>
      <c r="G4" s="23"/>
      <c r="H4" s="23"/>
      <c r="I4" s="23"/>
      <c r="J4" s="23"/>
      <c r="K4" s="23"/>
      <c r="L4" s="23"/>
      <c r="M4" s="23"/>
      <c r="N4" s="23"/>
      <c r="O4" s="23"/>
      <c r="P4" s="23"/>
      <c r="Q4" s="23"/>
      <c r="R4" s="23"/>
      <c r="S4" s="23"/>
      <c r="T4" s="23"/>
      <c r="U4" s="23"/>
      <c r="V4" s="23"/>
      <c r="W4" s="23"/>
      <c r="X4" s="23"/>
      <c r="Y4" s="23"/>
      <c r="Z4" s="23"/>
      <c r="AA4" s="23"/>
      <c r="AB4" s="23"/>
      <c r="AC4" s="23"/>
      <c r="AD4" s="23"/>
      <c r="AE4" s="23"/>
      <c r="AF4" s="23"/>
      <c r="AG4" s="23"/>
      <c r="AH4" s="23"/>
      <c r="AI4" s="23"/>
      <c r="AJ4" s="23"/>
      <c r="AK4" s="23"/>
      <c r="AL4" s="23"/>
      <c r="AM4" s="23"/>
      <c r="AN4" s="23"/>
      <c r="AO4" s="23"/>
      <c r="AP4" s="23"/>
      <c r="AQ4" s="23"/>
      <c r="AR4" s="23"/>
      <c r="AS4" s="23"/>
      <c r="AT4" s="23"/>
      <c r="AU4" s="23"/>
      <c r="AV4" s="23"/>
      <c r="AW4" s="23"/>
      <c r="AX4" s="23"/>
      <c r="AY4" s="23"/>
      <c r="AZ4" s="23"/>
      <c r="BA4" s="23"/>
      <c r="BB4" s="23"/>
      <c r="BC4" s="23"/>
      <c r="BD4" s="23"/>
      <c r="BE4" s="23"/>
      <c r="BF4" s="23"/>
      <c r="BG4" s="23"/>
      <c r="BH4" s="23"/>
      <c r="BI4" s="23"/>
      <c r="BJ4" s="23"/>
      <c r="BK4" s="23"/>
      <c r="BL4" s="23"/>
      <c r="BM4" s="23"/>
      <c r="BN4" s="23"/>
      <c r="BO4" s="23"/>
      <c r="BP4" s="23"/>
      <c r="BQ4" s="23"/>
      <c r="BR4" s="23"/>
      <c r="BS4" s="23"/>
      <c r="BT4" s="23"/>
      <c r="BU4" s="23"/>
      <c r="BV4" s="23"/>
      <c r="BW4" s="23"/>
      <c r="BX4" s="23"/>
      <c r="BY4" s="23"/>
      <c r="BZ4" s="23"/>
      <c r="CA4" s="23"/>
      <c r="CB4" s="23"/>
      <c r="CC4" s="23"/>
      <c r="CD4" s="23"/>
      <c r="CE4" s="23"/>
      <c r="CF4" s="23"/>
      <c r="CG4" s="23"/>
      <c r="CH4" s="23"/>
      <c r="CI4" s="23"/>
      <c r="CJ4" s="23"/>
      <c r="CK4" s="23"/>
      <c r="CL4" s="23"/>
      <c r="CM4" s="23"/>
      <c r="CN4" s="23"/>
      <c r="CO4" s="23"/>
      <c r="CP4" s="23"/>
      <c r="CQ4" s="23"/>
      <c r="CR4" s="23"/>
      <c r="CS4" s="23"/>
      <c r="CT4" s="23"/>
      <c r="CU4" s="23"/>
      <c r="CV4" s="23"/>
    </row>
    <row r="5" spans="1:100" ht="12" customHeight="1" x14ac:dyDescent="0.25">
      <c r="A5" s="29" t="s">
        <v>43</v>
      </c>
      <c r="B5" s="30">
        <f>B2*(1+B4)/(B3-B4)</f>
        <v>22.999999999999996</v>
      </c>
      <c r="C5" s="23"/>
      <c r="D5" s="23"/>
      <c r="E5" s="23"/>
      <c r="F5" s="23"/>
      <c r="G5" s="23"/>
      <c r="H5" s="23"/>
      <c r="I5" s="23"/>
      <c r="J5" s="23"/>
      <c r="K5" s="23"/>
      <c r="L5" s="23"/>
      <c r="M5" s="23"/>
      <c r="N5" s="23"/>
      <c r="O5" s="23"/>
      <c r="P5" s="23"/>
      <c r="Q5" s="23"/>
      <c r="R5" s="23"/>
      <c r="S5" s="23"/>
      <c r="T5" s="23"/>
      <c r="U5" s="23"/>
      <c r="V5" s="23"/>
      <c r="W5" s="23"/>
      <c r="X5" s="23"/>
      <c r="Y5" s="23"/>
      <c r="Z5" s="23"/>
      <c r="AA5" s="23"/>
      <c r="AB5" s="23"/>
      <c r="AC5" s="23"/>
      <c r="AD5" s="23"/>
      <c r="AE5" s="23"/>
      <c r="AF5" s="23"/>
      <c r="AG5" s="23"/>
      <c r="AH5" s="23"/>
      <c r="AI5" s="23"/>
      <c r="AJ5" s="23"/>
      <c r="AK5" s="23"/>
      <c r="AL5" s="23"/>
      <c r="AM5" s="23"/>
      <c r="AN5" s="23"/>
      <c r="AO5" s="23"/>
      <c r="AP5" s="23"/>
      <c r="AQ5" s="23"/>
      <c r="AR5" s="23"/>
      <c r="AS5" s="23"/>
      <c r="AT5" s="23"/>
      <c r="AU5" s="23"/>
      <c r="AV5" s="23"/>
      <c r="AW5" s="23"/>
      <c r="AX5" s="23"/>
      <c r="AY5" s="23"/>
      <c r="AZ5" s="23"/>
      <c r="BA5" s="23"/>
      <c r="BB5" s="23"/>
      <c r="BC5" s="23"/>
      <c r="BD5" s="23"/>
      <c r="BE5" s="23"/>
      <c r="BF5" s="23"/>
      <c r="BG5" s="23"/>
      <c r="BH5" s="23"/>
      <c r="BI5" s="23"/>
      <c r="BJ5" s="23"/>
      <c r="BK5" s="23"/>
      <c r="BL5" s="23"/>
      <c r="BM5" s="23"/>
      <c r="BN5" s="23"/>
      <c r="BO5" s="23"/>
      <c r="BP5" s="23"/>
      <c r="BQ5" s="23"/>
      <c r="BR5" s="23"/>
      <c r="BS5" s="23"/>
      <c r="BT5" s="23"/>
      <c r="BU5" s="23"/>
      <c r="BV5" s="23"/>
      <c r="BW5" s="23"/>
      <c r="BX5" s="23"/>
      <c r="BY5" s="23"/>
      <c r="BZ5" s="23"/>
      <c r="CA5" s="23"/>
      <c r="CB5" s="23"/>
      <c r="CC5" s="23"/>
      <c r="CD5" s="23"/>
      <c r="CE5" s="23"/>
      <c r="CF5" s="23"/>
      <c r="CG5" s="23"/>
      <c r="CH5" s="23"/>
      <c r="CI5" s="23"/>
      <c r="CJ5" s="23"/>
      <c r="CK5" s="23"/>
      <c r="CL5" s="23"/>
      <c r="CM5" s="23"/>
      <c r="CN5" s="23"/>
      <c r="CO5" s="23"/>
      <c r="CP5" s="23"/>
      <c r="CQ5" s="23"/>
      <c r="CR5" s="23"/>
      <c r="CS5" s="23"/>
      <c r="CT5" s="23"/>
      <c r="CU5" s="23"/>
      <c r="CV5" s="23"/>
    </row>
    <row r="6" spans="1:100" ht="12" customHeight="1" x14ac:dyDescent="0.25">
      <c r="A6" s="23"/>
      <c r="B6" s="23"/>
      <c r="C6" s="23"/>
      <c r="D6" s="23"/>
      <c r="E6" s="23"/>
      <c r="F6" s="23"/>
      <c r="G6" s="23"/>
      <c r="H6" s="23"/>
      <c r="I6" s="23"/>
      <c r="J6" s="23"/>
      <c r="K6" s="23"/>
      <c r="L6" s="23"/>
      <c r="M6" s="23"/>
      <c r="N6" s="23"/>
      <c r="O6" s="23"/>
      <c r="P6" s="23"/>
      <c r="Q6" s="23"/>
      <c r="R6" s="23"/>
      <c r="S6" s="23"/>
      <c r="T6" s="23"/>
      <c r="U6" s="23"/>
      <c r="V6" s="23"/>
      <c r="W6" s="23"/>
      <c r="X6" s="23"/>
      <c r="Y6" s="23"/>
      <c r="Z6" s="23"/>
      <c r="AA6" s="23"/>
      <c r="AB6" s="23"/>
      <c r="AC6" s="23"/>
      <c r="AD6" s="23"/>
      <c r="AE6" s="23"/>
      <c r="AF6" s="23"/>
      <c r="AG6" s="23"/>
      <c r="AH6" s="23"/>
      <c r="AI6" s="23"/>
      <c r="AJ6" s="23"/>
      <c r="AK6" s="23"/>
      <c r="AL6" s="23"/>
      <c r="AM6" s="23"/>
      <c r="AN6" s="23"/>
      <c r="AO6" s="23"/>
      <c r="AP6" s="23"/>
      <c r="AQ6" s="23"/>
      <c r="AR6" s="23"/>
      <c r="AS6" s="23"/>
      <c r="AT6" s="23"/>
      <c r="AU6" s="23"/>
      <c r="AV6" s="23"/>
      <c r="AW6" s="23"/>
      <c r="AX6" s="23"/>
      <c r="AY6" s="23"/>
      <c r="AZ6" s="23"/>
      <c r="BA6" s="23"/>
      <c r="BB6" s="23"/>
      <c r="BC6" s="23"/>
      <c r="BD6" s="23"/>
      <c r="BE6" s="23"/>
      <c r="BF6" s="23"/>
      <c r="BG6" s="23"/>
      <c r="BH6" s="23"/>
      <c r="BI6" s="23"/>
      <c r="BJ6" s="23"/>
      <c r="BK6" s="23"/>
      <c r="BL6" s="23"/>
      <c r="BM6" s="23"/>
      <c r="BN6" s="23"/>
      <c r="BO6" s="23"/>
      <c r="BP6" s="23"/>
      <c r="BQ6" s="23"/>
      <c r="BR6" s="23"/>
      <c r="BS6" s="23"/>
      <c r="BT6" s="23"/>
      <c r="BU6" s="23"/>
      <c r="BV6" s="23"/>
      <c r="BW6" s="23"/>
      <c r="BX6" s="23"/>
      <c r="BY6" s="23"/>
      <c r="BZ6" s="23"/>
      <c r="CA6" s="23"/>
      <c r="CB6" s="23"/>
      <c r="CC6" s="23"/>
      <c r="CD6" s="23"/>
      <c r="CE6" s="23"/>
      <c r="CF6" s="23"/>
      <c r="CG6" s="23"/>
      <c r="CH6" s="23"/>
      <c r="CI6" s="23"/>
      <c r="CJ6" s="23"/>
      <c r="CK6" s="23"/>
      <c r="CL6" s="23"/>
      <c r="CM6" s="23"/>
      <c r="CN6" s="23"/>
      <c r="CO6" s="23"/>
      <c r="CP6" s="23"/>
      <c r="CQ6" s="23"/>
      <c r="CR6" s="23"/>
      <c r="CS6" s="23"/>
      <c r="CT6" s="23"/>
      <c r="CU6" s="23"/>
      <c r="CV6" s="23"/>
    </row>
    <row r="7" spans="1:100" ht="12" customHeight="1" x14ac:dyDescent="0.25">
      <c r="A7" s="23">
        <v>1</v>
      </c>
      <c r="B7" s="23">
        <f t="shared" ref="B7:CV7" si="0">+A7+1</f>
        <v>2</v>
      </c>
      <c r="C7" s="23">
        <f t="shared" si="0"/>
        <v>3</v>
      </c>
      <c r="D7" s="23">
        <f t="shared" si="0"/>
        <v>4</v>
      </c>
      <c r="E7" s="23">
        <f t="shared" si="0"/>
        <v>5</v>
      </c>
      <c r="F7" s="23">
        <f t="shared" si="0"/>
        <v>6</v>
      </c>
      <c r="G7" s="23">
        <f t="shared" si="0"/>
        <v>7</v>
      </c>
      <c r="H7" s="23">
        <f t="shared" si="0"/>
        <v>8</v>
      </c>
      <c r="I7" s="23">
        <f t="shared" si="0"/>
        <v>9</v>
      </c>
      <c r="J7" s="23">
        <f t="shared" si="0"/>
        <v>10</v>
      </c>
      <c r="K7" s="23">
        <f t="shared" si="0"/>
        <v>11</v>
      </c>
      <c r="L7" s="23">
        <f t="shared" si="0"/>
        <v>12</v>
      </c>
      <c r="M7" s="23">
        <f t="shared" si="0"/>
        <v>13</v>
      </c>
      <c r="N7" s="23">
        <f t="shared" si="0"/>
        <v>14</v>
      </c>
      <c r="O7" s="23">
        <f t="shared" si="0"/>
        <v>15</v>
      </c>
      <c r="P7" s="23">
        <f t="shared" si="0"/>
        <v>16</v>
      </c>
      <c r="Q7" s="23">
        <f t="shared" si="0"/>
        <v>17</v>
      </c>
      <c r="R7" s="23">
        <f t="shared" si="0"/>
        <v>18</v>
      </c>
      <c r="S7" s="23">
        <f t="shared" si="0"/>
        <v>19</v>
      </c>
      <c r="T7" s="23">
        <f t="shared" si="0"/>
        <v>20</v>
      </c>
      <c r="U7" s="23">
        <f t="shared" si="0"/>
        <v>21</v>
      </c>
      <c r="V7" s="23">
        <f t="shared" si="0"/>
        <v>22</v>
      </c>
      <c r="W7" s="23">
        <f t="shared" si="0"/>
        <v>23</v>
      </c>
      <c r="X7" s="23">
        <f t="shared" si="0"/>
        <v>24</v>
      </c>
      <c r="Y7" s="23">
        <f t="shared" si="0"/>
        <v>25</v>
      </c>
      <c r="Z7" s="23">
        <f t="shared" si="0"/>
        <v>26</v>
      </c>
      <c r="AA7" s="23">
        <f t="shared" si="0"/>
        <v>27</v>
      </c>
      <c r="AB7" s="23">
        <f t="shared" si="0"/>
        <v>28</v>
      </c>
      <c r="AC7" s="23">
        <f t="shared" si="0"/>
        <v>29</v>
      </c>
      <c r="AD7" s="23">
        <f t="shared" si="0"/>
        <v>30</v>
      </c>
      <c r="AE7" s="23">
        <f t="shared" si="0"/>
        <v>31</v>
      </c>
      <c r="AF7" s="23">
        <f t="shared" si="0"/>
        <v>32</v>
      </c>
      <c r="AG7" s="23">
        <f t="shared" si="0"/>
        <v>33</v>
      </c>
      <c r="AH7" s="23">
        <f t="shared" si="0"/>
        <v>34</v>
      </c>
      <c r="AI7" s="23">
        <f t="shared" si="0"/>
        <v>35</v>
      </c>
      <c r="AJ7" s="23">
        <f t="shared" si="0"/>
        <v>36</v>
      </c>
      <c r="AK7" s="23">
        <f t="shared" si="0"/>
        <v>37</v>
      </c>
      <c r="AL7" s="23">
        <f t="shared" si="0"/>
        <v>38</v>
      </c>
      <c r="AM7" s="23">
        <f t="shared" si="0"/>
        <v>39</v>
      </c>
      <c r="AN7" s="23">
        <f t="shared" si="0"/>
        <v>40</v>
      </c>
      <c r="AO7" s="23">
        <f t="shared" si="0"/>
        <v>41</v>
      </c>
      <c r="AP7" s="23">
        <f t="shared" si="0"/>
        <v>42</v>
      </c>
      <c r="AQ7" s="23">
        <f t="shared" si="0"/>
        <v>43</v>
      </c>
      <c r="AR7" s="23">
        <f t="shared" si="0"/>
        <v>44</v>
      </c>
      <c r="AS7" s="23">
        <f t="shared" si="0"/>
        <v>45</v>
      </c>
      <c r="AT7" s="23">
        <f t="shared" si="0"/>
        <v>46</v>
      </c>
      <c r="AU7" s="23">
        <f t="shared" si="0"/>
        <v>47</v>
      </c>
      <c r="AV7" s="23">
        <f t="shared" si="0"/>
        <v>48</v>
      </c>
      <c r="AW7" s="23">
        <f t="shared" si="0"/>
        <v>49</v>
      </c>
      <c r="AX7" s="23">
        <f t="shared" si="0"/>
        <v>50</v>
      </c>
      <c r="AY7" s="23">
        <f t="shared" si="0"/>
        <v>51</v>
      </c>
      <c r="AZ7" s="23">
        <f t="shared" si="0"/>
        <v>52</v>
      </c>
      <c r="BA7" s="23">
        <f t="shared" si="0"/>
        <v>53</v>
      </c>
      <c r="BB7" s="23">
        <f t="shared" si="0"/>
        <v>54</v>
      </c>
      <c r="BC7" s="23">
        <f t="shared" si="0"/>
        <v>55</v>
      </c>
      <c r="BD7" s="23">
        <f t="shared" si="0"/>
        <v>56</v>
      </c>
      <c r="BE7" s="23">
        <f t="shared" si="0"/>
        <v>57</v>
      </c>
      <c r="BF7" s="23">
        <f t="shared" si="0"/>
        <v>58</v>
      </c>
      <c r="BG7" s="23">
        <f t="shared" si="0"/>
        <v>59</v>
      </c>
      <c r="BH7" s="23">
        <f t="shared" si="0"/>
        <v>60</v>
      </c>
      <c r="BI7" s="23">
        <f t="shared" si="0"/>
        <v>61</v>
      </c>
      <c r="BJ7" s="23">
        <f t="shared" si="0"/>
        <v>62</v>
      </c>
      <c r="BK7" s="23">
        <f t="shared" si="0"/>
        <v>63</v>
      </c>
      <c r="BL7" s="23">
        <f t="shared" si="0"/>
        <v>64</v>
      </c>
      <c r="BM7" s="23">
        <f t="shared" si="0"/>
        <v>65</v>
      </c>
      <c r="BN7" s="23">
        <f t="shared" si="0"/>
        <v>66</v>
      </c>
      <c r="BO7" s="23">
        <f t="shared" si="0"/>
        <v>67</v>
      </c>
      <c r="BP7" s="23">
        <f t="shared" si="0"/>
        <v>68</v>
      </c>
      <c r="BQ7" s="23">
        <f t="shared" si="0"/>
        <v>69</v>
      </c>
      <c r="BR7" s="23">
        <f t="shared" si="0"/>
        <v>70</v>
      </c>
      <c r="BS7" s="23">
        <f t="shared" si="0"/>
        <v>71</v>
      </c>
      <c r="BT7" s="23">
        <f t="shared" si="0"/>
        <v>72</v>
      </c>
      <c r="BU7" s="23">
        <f t="shared" si="0"/>
        <v>73</v>
      </c>
      <c r="BV7" s="23">
        <f t="shared" si="0"/>
        <v>74</v>
      </c>
      <c r="BW7" s="23">
        <f t="shared" si="0"/>
        <v>75</v>
      </c>
      <c r="BX7" s="23">
        <f t="shared" si="0"/>
        <v>76</v>
      </c>
      <c r="BY7" s="23">
        <f t="shared" si="0"/>
        <v>77</v>
      </c>
      <c r="BZ7" s="23">
        <f t="shared" si="0"/>
        <v>78</v>
      </c>
      <c r="CA7" s="23">
        <f t="shared" si="0"/>
        <v>79</v>
      </c>
      <c r="CB7" s="23">
        <f t="shared" si="0"/>
        <v>80</v>
      </c>
      <c r="CC7" s="23">
        <f t="shared" si="0"/>
        <v>81</v>
      </c>
      <c r="CD7" s="23">
        <f t="shared" si="0"/>
        <v>82</v>
      </c>
      <c r="CE7" s="23">
        <f t="shared" si="0"/>
        <v>83</v>
      </c>
      <c r="CF7" s="23">
        <f t="shared" si="0"/>
        <v>84</v>
      </c>
      <c r="CG7" s="23">
        <f t="shared" si="0"/>
        <v>85</v>
      </c>
      <c r="CH7" s="23">
        <f t="shared" si="0"/>
        <v>86</v>
      </c>
      <c r="CI7" s="23">
        <f t="shared" si="0"/>
        <v>87</v>
      </c>
      <c r="CJ7" s="23">
        <f t="shared" si="0"/>
        <v>88</v>
      </c>
      <c r="CK7" s="23">
        <f t="shared" si="0"/>
        <v>89</v>
      </c>
      <c r="CL7" s="23">
        <f t="shared" si="0"/>
        <v>90</v>
      </c>
      <c r="CM7" s="23">
        <f t="shared" si="0"/>
        <v>91</v>
      </c>
      <c r="CN7" s="23">
        <f t="shared" si="0"/>
        <v>92</v>
      </c>
      <c r="CO7" s="23">
        <f t="shared" si="0"/>
        <v>93</v>
      </c>
      <c r="CP7" s="23">
        <f t="shared" si="0"/>
        <v>94</v>
      </c>
      <c r="CQ7" s="23">
        <f t="shared" si="0"/>
        <v>95</v>
      </c>
      <c r="CR7" s="23">
        <f t="shared" si="0"/>
        <v>96</v>
      </c>
      <c r="CS7" s="23">
        <f t="shared" si="0"/>
        <v>97</v>
      </c>
      <c r="CT7" s="23">
        <f t="shared" si="0"/>
        <v>98</v>
      </c>
      <c r="CU7" s="23">
        <f t="shared" si="0"/>
        <v>99</v>
      </c>
      <c r="CV7" s="23">
        <f t="shared" si="0"/>
        <v>100</v>
      </c>
    </row>
    <row r="8" spans="1:100" ht="12" customHeight="1" x14ac:dyDescent="0.25">
      <c r="A8" s="41">
        <f t="shared" ref="A8:CV8" si="1">$B$2*(1+$B$4)^A$7/(1+$B$3)^A$7</f>
        <v>1.0952380952380953</v>
      </c>
      <c r="B8" s="41">
        <f t="shared" si="1"/>
        <v>1.0430839002267576</v>
      </c>
      <c r="C8" s="41">
        <f t="shared" si="1"/>
        <v>0.99341323831119765</v>
      </c>
      <c r="D8" s="41">
        <f t="shared" si="1"/>
        <v>0.94610784601066467</v>
      </c>
      <c r="E8" s="41">
        <f t="shared" si="1"/>
        <v>0.90105509143872831</v>
      </c>
      <c r="F8" s="41">
        <f t="shared" si="1"/>
        <v>0.85814770613212232</v>
      </c>
      <c r="G8" s="41">
        <f t="shared" si="1"/>
        <v>0.81728352964964046</v>
      </c>
      <c r="H8" s="41">
        <f t="shared" si="1"/>
        <v>0.77836526633299086</v>
      </c>
      <c r="I8" s="41">
        <f t="shared" si="1"/>
        <v>0.74130025365046759</v>
      </c>
      <c r="J8" s="41">
        <f t="shared" si="1"/>
        <v>0.70600024157187391</v>
      </c>
      <c r="K8" s="41">
        <f t="shared" si="1"/>
        <v>0.67238118244940381</v>
      </c>
      <c r="L8" s="41">
        <f t="shared" si="1"/>
        <v>0.64036303090419411</v>
      </c>
      <c r="M8" s="41">
        <f t="shared" si="1"/>
        <v>0.60986955324208969</v>
      </c>
      <c r="N8" s="41">
        <f t="shared" si="1"/>
        <v>0.58082814594484755</v>
      </c>
      <c r="O8" s="41">
        <f t="shared" si="1"/>
        <v>0.55316966280461677</v>
      </c>
      <c r="P8" s="41">
        <f t="shared" si="1"/>
        <v>0.52682825029011116</v>
      </c>
      <c r="Q8" s="41">
        <f t="shared" si="1"/>
        <v>0.5017411907524868</v>
      </c>
      <c r="R8" s="41">
        <f t="shared" si="1"/>
        <v>0.47784875309760655</v>
      </c>
      <c r="S8" s="41">
        <f t="shared" si="1"/>
        <v>0.45509405056914926</v>
      </c>
      <c r="T8" s="41">
        <f t="shared" si="1"/>
        <v>0.43342290530395161</v>
      </c>
      <c r="U8" s="41">
        <f t="shared" si="1"/>
        <v>0.41278371933709684</v>
      </c>
      <c r="V8" s="41">
        <f t="shared" si="1"/>
        <v>0.39312735174961611</v>
      </c>
      <c r="W8" s="41">
        <f t="shared" si="1"/>
        <v>0.37440700166630103</v>
      </c>
      <c r="X8" s="41">
        <f t="shared" si="1"/>
        <v>0.3565780968250486</v>
      </c>
      <c r="Y8" s="41">
        <f t="shared" si="1"/>
        <v>0.33959818745242731</v>
      </c>
      <c r="Z8" s="41">
        <f t="shared" si="1"/>
        <v>0.32342684519278792</v>
      </c>
      <c r="AA8" s="41">
        <f t="shared" si="1"/>
        <v>0.30802556685027427</v>
      </c>
      <c r="AB8" s="41">
        <f t="shared" si="1"/>
        <v>0.29335768271454699</v>
      </c>
      <c r="AC8" s="41">
        <f t="shared" si="1"/>
        <v>0.27938826925194948</v>
      </c>
      <c r="AD8" s="41">
        <f t="shared" si="1"/>
        <v>0.26608406595423761</v>
      </c>
      <c r="AE8" s="41">
        <f t="shared" si="1"/>
        <v>0.25341339614689307</v>
      </c>
      <c r="AF8" s="41">
        <f t="shared" si="1"/>
        <v>0.24134609156846956</v>
      </c>
      <c r="AG8" s="41">
        <f t="shared" si="1"/>
        <v>0.22985342054139962</v>
      </c>
      <c r="AH8" s="41">
        <f t="shared" si="1"/>
        <v>0.21890801956323774</v>
      </c>
      <c r="AI8" s="41">
        <f t="shared" si="1"/>
        <v>0.20848382815546451</v>
      </c>
      <c r="AJ8" s="41">
        <f t="shared" si="1"/>
        <v>0.1985560268147282</v>
      </c>
      <c r="AK8" s="41">
        <f t="shared" si="1"/>
        <v>0.18910097791878874</v>
      </c>
      <c r="AL8" s="41">
        <f t="shared" si="1"/>
        <v>0.18009616944646553</v>
      </c>
      <c r="AM8" s="41">
        <f t="shared" si="1"/>
        <v>0.17152016137758622</v>
      </c>
      <c r="AN8" s="41">
        <f t="shared" si="1"/>
        <v>0.16335253464532024</v>
      </c>
      <c r="AO8" s="41">
        <f t="shared" si="1"/>
        <v>0.15557384251935261</v>
      </c>
      <c r="AP8" s="41">
        <f t="shared" si="1"/>
        <v>0.14816556430414532</v>
      </c>
      <c r="AQ8" s="41">
        <f t="shared" si="1"/>
        <v>0.14111006124204317</v>
      </c>
      <c r="AR8" s="41">
        <f t="shared" si="1"/>
        <v>0.13439053451623162</v>
      </c>
      <c r="AS8" s="41">
        <f t="shared" si="1"/>
        <v>0.12799098525355393</v>
      </c>
      <c r="AT8" s="41">
        <f t="shared" si="1"/>
        <v>0.12189617643195615</v>
      </c>
      <c r="AU8" s="41">
        <f t="shared" si="1"/>
        <v>0.11609159660186304</v>
      </c>
      <c r="AV8" s="41">
        <f t="shared" si="1"/>
        <v>0.11056342533510763</v>
      </c>
      <c r="AW8" s="41">
        <f t="shared" si="1"/>
        <v>0.10529850031915013</v>
      </c>
      <c r="AX8" s="41">
        <f t="shared" si="1"/>
        <v>0.10028428601823824</v>
      </c>
      <c r="AY8" s="41">
        <f t="shared" si="1"/>
        <v>9.5508843826893591E-2</v>
      </c>
      <c r="AZ8" s="41">
        <f t="shared" si="1"/>
        <v>9.0960803644660554E-2</v>
      </c>
      <c r="BA8" s="41">
        <f t="shared" si="1"/>
        <v>8.6629336804438628E-2</v>
      </c>
      <c r="BB8" s="41">
        <f t="shared" si="1"/>
        <v>8.2504130289941566E-2</v>
      </c>
      <c r="BC8" s="41">
        <f t="shared" si="1"/>
        <v>7.8575362180896724E-2</v>
      </c>
      <c r="BD8" s="41">
        <f t="shared" si="1"/>
        <v>7.4833678267520715E-2</v>
      </c>
      <c r="BE8" s="41">
        <f t="shared" si="1"/>
        <v>7.1270169778591144E-2</v>
      </c>
      <c r="BF8" s="41">
        <f t="shared" si="1"/>
        <v>6.7876352170086821E-2</v>
      </c>
      <c r="BG8" s="41">
        <f t="shared" si="1"/>
        <v>6.4644144923892213E-2</v>
      </c>
      <c r="BH8" s="41">
        <f t="shared" si="1"/>
        <v>6.1565852308468776E-2</v>
      </c>
      <c r="BI8" s="41">
        <f t="shared" si="1"/>
        <v>5.863414505568456E-2</v>
      </c>
      <c r="BJ8" s="41">
        <f t="shared" si="1"/>
        <v>5.584204291017577E-2</v>
      </c>
      <c r="BK8" s="41">
        <f t="shared" si="1"/>
        <v>5.3182898009691233E-2</v>
      </c>
      <c r="BL8" s="41">
        <f t="shared" si="1"/>
        <v>5.0650379056848792E-2</v>
      </c>
      <c r="BM8" s="41">
        <f t="shared" si="1"/>
        <v>4.8238456244617908E-2</v>
      </c>
      <c r="BN8" s="41">
        <f t="shared" si="1"/>
        <v>4.5941386899636096E-2</v>
      </c>
      <c r="BO8" s="41">
        <f t="shared" si="1"/>
        <v>4.3753701809177238E-2</v>
      </c>
      <c r="BP8" s="41">
        <f t="shared" si="1"/>
        <v>4.1670192199216423E-2</v>
      </c>
      <c r="BQ8" s="41">
        <f t="shared" si="1"/>
        <v>3.9685897332587074E-2</v>
      </c>
      <c r="BR8" s="41">
        <f t="shared" si="1"/>
        <v>3.7796092697701983E-2</v>
      </c>
      <c r="BS8" s="41">
        <f t="shared" si="1"/>
        <v>3.5996278759716185E-2</v>
      </c>
      <c r="BT8" s="41">
        <f t="shared" si="1"/>
        <v>3.4282170247348739E-2</v>
      </c>
      <c r="BU8" s="41">
        <f t="shared" si="1"/>
        <v>3.2649685949855949E-2</v>
      </c>
      <c r="BV8" s="41">
        <f t="shared" si="1"/>
        <v>3.109493899986281E-2</v>
      </c>
      <c r="BW8" s="41">
        <f t="shared" si="1"/>
        <v>2.9614227618916966E-2</v>
      </c>
      <c r="BX8" s="41">
        <f t="shared" si="1"/>
        <v>2.8204026303730447E-2</v>
      </c>
      <c r="BY8" s="41">
        <f t="shared" si="1"/>
        <v>2.6860977432124233E-2</v>
      </c>
      <c r="BZ8" s="41">
        <f t="shared" si="1"/>
        <v>2.5581883268689751E-2</v>
      </c>
      <c r="CA8" s="41">
        <f t="shared" si="1"/>
        <v>2.4363698351133105E-2</v>
      </c>
      <c r="CB8" s="41">
        <f t="shared" si="1"/>
        <v>2.3203522239174382E-2</v>
      </c>
      <c r="CC8" s="41">
        <f t="shared" si="1"/>
        <v>2.2098592608737505E-2</v>
      </c>
      <c r="CD8" s="41">
        <f t="shared" si="1"/>
        <v>2.1046278674988109E-2</v>
      </c>
      <c r="CE8" s="41">
        <f t="shared" si="1"/>
        <v>2.0044074928560106E-2</v>
      </c>
      <c r="CF8" s="41">
        <f t="shared" si="1"/>
        <v>1.9089595170057243E-2</v>
      </c>
      <c r="CG8" s="41">
        <f t="shared" si="1"/>
        <v>1.8180566828625948E-2</v>
      </c>
      <c r="CH8" s="41">
        <f t="shared" si="1"/>
        <v>1.7314825551072333E-2</v>
      </c>
      <c r="CI8" s="41">
        <f t="shared" si="1"/>
        <v>1.6490310048640319E-2</v>
      </c>
      <c r="CJ8" s="41">
        <f t="shared" si="1"/>
        <v>1.5705057189181255E-2</v>
      </c>
      <c r="CK8" s="41">
        <f t="shared" si="1"/>
        <v>1.4957197323029772E-2</v>
      </c>
      <c r="CL8" s="41">
        <f t="shared" si="1"/>
        <v>1.4244949831456924E-2</v>
      </c>
      <c r="CM8" s="41">
        <f t="shared" si="1"/>
        <v>1.3566618887101835E-2</v>
      </c>
      <c r="CN8" s="41">
        <f t="shared" si="1"/>
        <v>1.2920589416287461E-2</v>
      </c>
      <c r="CO8" s="41">
        <f t="shared" si="1"/>
        <v>1.2305323253607107E-2</v>
      </c>
      <c r="CP8" s="41">
        <f t="shared" si="1"/>
        <v>1.1719355479625819E-2</v>
      </c>
      <c r="CQ8" s="41">
        <f t="shared" si="1"/>
        <v>1.1161290932976973E-2</v>
      </c>
      <c r="CR8" s="41">
        <f t="shared" si="1"/>
        <v>1.06298008885495E-2</v>
      </c>
      <c r="CS8" s="41">
        <f t="shared" si="1"/>
        <v>1.0123619893856666E-2</v>
      </c>
      <c r="CT8" s="41">
        <f t="shared" si="1"/>
        <v>9.6415427560539672E-3</v>
      </c>
      <c r="CU8" s="41">
        <f t="shared" si="1"/>
        <v>9.1824216724323525E-3</v>
      </c>
      <c r="CV8" s="41">
        <f t="shared" si="1"/>
        <v>8.7451634975546245E-3</v>
      </c>
    </row>
    <row r="9" spans="1:100" ht="12" customHeight="1" x14ac:dyDescent="0.25">
      <c r="A9" s="41">
        <f t="shared" ref="A9:CV9" si="2">SUM($A$8:A8)</f>
        <v>1.0952380952380953</v>
      </c>
      <c r="B9" s="41">
        <f t="shared" si="2"/>
        <v>2.1383219954648531</v>
      </c>
      <c r="C9" s="41">
        <f t="shared" si="2"/>
        <v>3.1317352337760509</v>
      </c>
      <c r="D9" s="41">
        <f t="shared" si="2"/>
        <v>4.0778430797867156</v>
      </c>
      <c r="E9" s="50">
        <f t="shared" si="2"/>
        <v>4.9788981712254436</v>
      </c>
      <c r="F9" s="41">
        <f t="shared" si="2"/>
        <v>5.837045877357566</v>
      </c>
      <c r="G9" s="41">
        <f t="shared" si="2"/>
        <v>6.6543294070072063</v>
      </c>
      <c r="H9" s="41">
        <f t="shared" si="2"/>
        <v>7.4326946733401975</v>
      </c>
      <c r="I9" s="41">
        <f t="shared" si="2"/>
        <v>8.173994926990666</v>
      </c>
      <c r="J9" s="41">
        <f t="shared" si="2"/>
        <v>8.8799951685625391</v>
      </c>
      <c r="K9" s="41">
        <f t="shared" si="2"/>
        <v>9.5523763510119437</v>
      </c>
      <c r="L9" s="41">
        <f t="shared" si="2"/>
        <v>10.192739381916137</v>
      </c>
      <c r="M9" s="41">
        <f t="shared" si="2"/>
        <v>10.802608935158228</v>
      </c>
      <c r="N9" s="41">
        <f t="shared" si="2"/>
        <v>11.383437081103075</v>
      </c>
      <c r="O9" s="41">
        <f t="shared" si="2"/>
        <v>11.936606743907692</v>
      </c>
      <c r="P9" s="41">
        <f t="shared" si="2"/>
        <v>12.463434994197803</v>
      </c>
      <c r="Q9" s="41">
        <f t="shared" si="2"/>
        <v>12.965176184950289</v>
      </c>
      <c r="R9" s="41">
        <f t="shared" si="2"/>
        <v>13.443024938047897</v>
      </c>
      <c r="S9" s="41">
        <f t="shared" si="2"/>
        <v>13.898118988617046</v>
      </c>
      <c r="T9" s="41">
        <f t="shared" si="2"/>
        <v>14.331541893920997</v>
      </c>
      <c r="U9" s="41">
        <f t="shared" si="2"/>
        <v>14.744325613258095</v>
      </c>
      <c r="V9" s="41">
        <f t="shared" si="2"/>
        <v>15.137452965007711</v>
      </c>
      <c r="W9" s="41">
        <f t="shared" si="2"/>
        <v>15.511859966674011</v>
      </c>
      <c r="X9" s="41">
        <f t="shared" si="2"/>
        <v>15.86843806349906</v>
      </c>
      <c r="Y9" s="41">
        <f t="shared" si="2"/>
        <v>16.208036250951487</v>
      </c>
      <c r="Z9" s="41">
        <f t="shared" si="2"/>
        <v>16.531463096144275</v>
      </c>
      <c r="AA9" s="41">
        <f t="shared" si="2"/>
        <v>16.839488662994551</v>
      </c>
      <c r="AB9" s="41">
        <f t="shared" si="2"/>
        <v>17.132846345709098</v>
      </c>
      <c r="AC9" s="41">
        <f t="shared" si="2"/>
        <v>17.412234614961047</v>
      </c>
      <c r="AD9" s="41">
        <f t="shared" si="2"/>
        <v>17.678318680915286</v>
      </c>
      <c r="AE9" s="41">
        <f t="shared" si="2"/>
        <v>17.931732077062179</v>
      </c>
      <c r="AF9" s="41">
        <f t="shared" si="2"/>
        <v>18.173078168630649</v>
      </c>
      <c r="AG9" s="41">
        <f t="shared" si="2"/>
        <v>18.402931589172049</v>
      </c>
      <c r="AH9" s="41">
        <f t="shared" si="2"/>
        <v>18.621839608735286</v>
      </c>
      <c r="AI9" s="41">
        <f t="shared" si="2"/>
        <v>18.830323436890751</v>
      </c>
      <c r="AJ9" s="41">
        <f t="shared" si="2"/>
        <v>19.028879463705479</v>
      </c>
      <c r="AK9" s="41">
        <f t="shared" si="2"/>
        <v>19.217980441624267</v>
      </c>
      <c r="AL9" s="41">
        <f t="shared" si="2"/>
        <v>19.398076611070731</v>
      </c>
      <c r="AM9" s="41">
        <f t="shared" si="2"/>
        <v>19.569596772448318</v>
      </c>
      <c r="AN9" s="41">
        <f t="shared" si="2"/>
        <v>19.732949307093637</v>
      </c>
      <c r="AO9" s="41">
        <f t="shared" si="2"/>
        <v>19.88852314961299</v>
      </c>
      <c r="AP9" s="41">
        <f t="shared" si="2"/>
        <v>20.036688713917137</v>
      </c>
      <c r="AQ9" s="41">
        <f t="shared" si="2"/>
        <v>20.177798775159179</v>
      </c>
      <c r="AR9" s="41">
        <f t="shared" si="2"/>
        <v>20.312189309675411</v>
      </c>
      <c r="AS9" s="41">
        <f t="shared" si="2"/>
        <v>20.440180294928965</v>
      </c>
      <c r="AT9" s="41">
        <f t="shared" si="2"/>
        <v>20.562076471360921</v>
      </c>
      <c r="AU9" s="41">
        <f t="shared" si="2"/>
        <v>20.678168067962783</v>
      </c>
      <c r="AV9" s="41">
        <f t="shared" si="2"/>
        <v>20.788731493297892</v>
      </c>
      <c r="AW9" s="41">
        <f t="shared" si="2"/>
        <v>20.894029993617043</v>
      </c>
      <c r="AX9" s="41">
        <f t="shared" si="2"/>
        <v>20.99431427963528</v>
      </c>
      <c r="AY9" s="41">
        <f t="shared" si="2"/>
        <v>21.089823123462175</v>
      </c>
      <c r="AZ9" s="41">
        <f t="shared" si="2"/>
        <v>21.180783927106834</v>
      </c>
      <c r="BA9" s="41">
        <f t="shared" si="2"/>
        <v>21.267413263911273</v>
      </c>
      <c r="BB9" s="41">
        <f t="shared" si="2"/>
        <v>21.349917394201213</v>
      </c>
      <c r="BC9" s="41">
        <f t="shared" si="2"/>
        <v>21.428492756382109</v>
      </c>
      <c r="BD9" s="41">
        <f t="shared" si="2"/>
        <v>21.50332643464963</v>
      </c>
      <c r="BE9" s="41">
        <f t="shared" si="2"/>
        <v>21.574596604428219</v>
      </c>
      <c r="BF9" s="41">
        <f t="shared" si="2"/>
        <v>21.642472956598304</v>
      </c>
      <c r="BG9" s="41">
        <f t="shared" si="2"/>
        <v>21.707117101522197</v>
      </c>
      <c r="BH9" s="41">
        <f t="shared" si="2"/>
        <v>21.768682953830666</v>
      </c>
      <c r="BI9" s="41">
        <f t="shared" si="2"/>
        <v>21.827317098886351</v>
      </c>
      <c r="BJ9" s="41">
        <f t="shared" si="2"/>
        <v>21.883159141796526</v>
      </c>
      <c r="BK9" s="41">
        <f t="shared" si="2"/>
        <v>21.936342039806217</v>
      </c>
      <c r="BL9" s="41">
        <f t="shared" si="2"/>
        <v>21.986992418863064</v>
      </c>
      <c r="BM9" s="41">
        <f t="shared" si="2"/>
        <v>22.035230875107683</v>
      </c>
      <c r="BN9" s="41">
        <f t="shared" si="2"/>
        <v>22.081172262007318</v>
      </c>
      <c r="BO9" s="41">
        <f t="shared" si="2"/>
        <v>22.124925963816494</v>
      </c>
      <c r="BP9" s="41">
        <f t="shared" si="2"/>
        <v>22.166596156015711</v>
      </c>
      <c r="BQ9" s="41">
        <f t="shared" si="2"/>
        <v>22.206282053348296</v>
      </c>
      <c r="BR9" s="41">
        <f t="shared" si="2"/>
        <v>22.244078146045997</v>
      </c>
      <c r="BS9" s="41">
        <f t="shared" si="2"/>
        <v>22.280074424805711</v>
      </c>
      <c r="BT9" s="41">
        <f t="shared" si="2"/>
        <v>22.314356595053059</v>
      </c>
      <c r="BU9" s="41">
        <f t="shared" si="2"/>
        <v>22.347006281002916</v>
      </c>
      <c r="BV9" s="41">
        <f t="shared" si="2"/>
        <v>22.37810122000278</v>
      </c>
      <c r="BW9" s="41">
        <f t="shared" si="2"/>
        <v>22.407715447621698</v>
      </c>
      <c r="BX9" s="41">
        <f t="shared" si="2"/>
        <v>22.435919473925427</v>
      </c>
      <c r="BY9" s="41">
        <f t="shared" si="2"/>
        <v>22.462780451357553</v>
      </c>
      <c r="BZ9" s="41">
        <f t="shared" si="2"/>
        <v>22.488362334626242</v>
      </c>
      <c r="CA9" s="41">
        <f t="shared" si="2"/>
        <v>22.512726032977376</v>
      </c>
      <c r="CB9" s="41">
        <f t="shared" si="2"/>
        <v>22.535929555216551</v>
      </c>
      <c r="CC9" s="41">
        <f t="shared" si="2"/>
        <v>22.55802814782529</v>
      </c>
      <c r="CD9" s="41">
        <f t="shared" si="2"/>
        <v>22.579074426500277</v>
      </c>
      <c r="CE9" s="41">
        <f t="shared" si="2"/>
        <v>22.599118501428837</v>
      </c>
      <c r="CF9" s="41">
        <f t="shared" si="2"/>
        <v>22.618208096598895</v>
      </c>
      <c r="CG9" s="41">
        <f t="shared" si="2"/>
        <v>22.636388663427521</v>
      </c>
      <c r="CH9" s="41">
        <f t="shared" si="2"/>
        <v>22.653703488978593</v>
      </c>
      <c r="CI9" s="41">
        <f t="shared" si="2"/>
        <v>22.670193799027235</v>
      </c>
      <c r="CJ9" s="41">
        <f t="shared" si="2"/>
        <v>22.685898856216415</v>
      </c>
      <c r="CK9" s="41">
        <f t="shared" si="2"/>
        <v>22.700856053539443</v>
      </c>
      <c r="CL9" s="41">
        <f t="shared" si="2"/>
        <v>22.715101003370901</v>
      </c>
      <c r="CM9" s="41">
        <f t="shared" si="2"/>
        <v>22.728667622258001</v>
      </c>
      <c r="CN9" s="41">
        <f t="shared" si="2"/>
        <v>22.741588211674287</v>
      </c>
      <c r="CO9" s="41">
        <f t="shared" si="2"/>
        <v>22.753893534927894</v>
      </c>
      <c r="CP9" s="41">
        <f t="shared" si="2"/>
        <v>22.765612890407521</v>
      </c>
      <c r="CQ9" s="41">
        <f t="shared" si="2"/>
        <v>22.7767741813405</v>
      </c>
      <c r="CR9" s="41">
        <f t="shared" si="2"/>
        <v>22.787403982229048</v>
      </c>
      <c r="CS9" s="41">
        <f t="shared" si="2"/>
        <v>22.797527602122905</v>
      </c>
      <c r="CT9" s="41">
        <f t="shared" si="2"/>
        <v>22.807169144878959</v>
      </c>
      <c r="CU9" s="41">
        <f t="shared" si="2"/>
        <v>22.81635156655139</v>
      </c>
      <c r="CV9" s="41">
        <f t="shared" si="2"/>
        <v>22.825096730048944</v>
      </c>
    </row>
    <row r="10" spans="1:100" ht="12" customHeight="1" x14ac:dyDescent="0.25">
      <c r="A10" s="41">
        <f t="shared" ref="A10:CV10" si="3">(($B$2*((1+$B$4)^A$7)/($B$3-$B$4))/(1+$B$3)^A$7)+A9</f>
        <v>21.377425044091709</v>
      </c>
      <c r="B10" s="41">
        <f t="shared" si="3"/>
        <v>21.454690518182584</v>
      </c>
      <c r="C10" s="41">
        <f t="shared" si="3"/>
        <v>21.528276683983414</v>
      </c>
      <c r="D10" s="41">
        <f t="shared" si="3"/>
        <v>21.598358746650874</v>
      </c>
      <c r="E10" s="50">
        <f t="shared" si="3"/>
        <v>21.665103568238926</v>
      </c>
      <c r="F10" s="41">
        <f t="shared" si="3"/>
        <v>21.728670064989458</v>
      </c>
      <c r="G10" s="41">
        <f t="shared" si="3"/>
        <v>21.789209585704249</v>
      </c>
      <c r="H10" s="41">
        <f t="shared" si="3"/>
        <v>21.846866272099284</v>
      </c>
      <c r="I10" s="41">
        <f t="shared" si="3"/>
        <v>21.901777401999322</v>
      </c>
      <c r="J10" s="41">
        <f t="shared" si="3"/>
        <v>21.954073716189832</v>
      </c>
      <c r="K10" s="41">
        <f t="shared" si="3"/>
        <v>22.003879729704607</v>
      </c>
      <c r="L10" s="41">
        <f t="shared" si="3"/>
        <v>22.051314028290101</v>
      </c>
      <c r="M10" s="41">
        <f t="shared" si="3"/>
        <v>22.09648955075248</v>
      </c>
      <c r="N10" s="41">
        <f t="shared" si="3"/>
        <v>22.139513857859509</v>
      </c>
      <c r="O10" s="41">
        <f t="shared" si="3"/>
        <v>22.180489388437628</v>
      </c>
      <c r="P10" s="41">
        <f t="shared" si="3"/>
        <v>22.219513703273932</v>
      </c>
      <c r="Q10" s="41">
        <f t="shared" si="3"/>
        <v>22.256679717403749</v>
      </c>
      <c r="R10" s="41">
        <f t="shared" si="3"/>
        <v>22.292075921336906</v>
      </c>
      <c r="S10" s="41">
        <f t="shared" si="3"/>
        <v>22.325786591749438</v>
      </c>
      <c r="T10" s="41">
        <f t="shared" si="3"/>
        <v>22.357891992142321</v>
      </c>
      <c r="U10" s="41">
        <f t="shared" si="3"/>
        <v>22.388468563945072</v>
      </c>
      <c r="V10" s="41">
        <f t="shared" si="3"/>
        <v>22.417589108519117</v>
      </c>
      <c r="W10" s="41">
        <f t="shared" si="3"/>
        <v>22.445322960494401</v>
      </c>
      <c r="X10" s="41">
        <f t="shared" si="3"/>
        <v>22.471736152851811</v>
      </c>
      <c r="Y10" s="41">
        <f t="shared" si="3"/>
        <v>22.496891574144584</v>
      </c>
      <c r="Z10" s="41">
        <f t="shared" si="3"/>
        <v>22.520849118232938</v>
      </c>
      <c r="AA10" s="41">
        <f t="shared" si="3"/>
        <v>22.543665826888518</v>
      </c>
      <c r="AB10" s="41">
        <f t="shared" si="3"/>
        <v>22.565396025608116</v>
      </c>
      <c r="AC10" s="41">
        <f t="shared" si="3"/>
        <v>22.586091452960112</v>
      </c>
      <c r="AD10" s="41">
        <f t="shared" si="3"/>
        <v>22.605801383771539</v>
      </c>
      <c r="AE10" s="41">
        <f t="shared" si="3"/>
        <v>22.62457274644909</v>
      </c>
      <c r="AF10" s="41">
        <f t="shared" si="3"/>
        <v>22.642450234713419</v>
      </c>
      <c r="AG10" s="41">
        <f t="shared" si="3"/>
        <v>22.659476414012783</v>
      </c>
      <c r="AH10" s="41">
        <f t="shared" si="3"/>
        <v>22.675691822869318</v>
      </c>
      <c r="AI10" s="41">
        <f t="shared" si="3"/>
        <v>22.691135069399351</v>
      </c>
      <c r="AJ10" s="41">
        <f t="shared" si="3"/>
        <v>22.705842923237483</v>
      </c>
      <c r="AK10" s="41">
        <f t="shared" si="3"/>
        <v>22.719850403083317</v>
      </c>
      <c r="AL10" s="41">
        <f t="shared" si="3"/>
        <v>22.73319086007935</v>
      </c>
      <c r="AM10" s="41">
        <f t="shared" si="3"/>
        <v>22.745896057218431</v>
      </c>
      <c r="AN10" s="41">
        <f t="shared" si="3"/>
        <v>22.757996244969938</v>
      </c>
      <c r="AO10" s="41">
        <f t="shared" si="3"/>
        <v>22.769520233304704</v>
      </c>
      <c r="AP10" s="41">
        <f t="shared" si="3"/>
        <v>22.780495460290197</v>
      </c>
      <c r="AQ10" s="41">
        <f t="shared" si="3"/>
        <v>22.790948057419236</v>
      </c>
      <c r="AR10" s="41">
        <f t="shared" si="3"/>
        <v>22.800902911827848</v>
      </c>
      <c r="AS10" s="41">
        <f t="shared" si="3"/>
        <v>22.810383725550334</v>
      </c>
      <c r="AT10" s="41">
        <f t="shared" si="3"/>
        <v>22.819413071952702</v>
      </c>
      <c r="AU10" s="41">
        <f t="shared" si="3"/>
        <v>22.828012449478766</v>
      </c>
      <c r="AV10" s="41">
        <f t="shared" si="3"/>
        <v>22.836202332836923</v>
      </c>
      <c r="AW10" s="41">
        <f t="shared" si="3"/>
        <v>22.844002221749452</v>
      </c>
      <c r="AX10" s="41">
        <f t="shared" si="3"/>
        <v>22.851430687380432</v>
      </c>
      <c r="AY10" s="41">
        <f t="shared" si="3"/>
        <v>22.858505416552795</v>
      </c>
      <c r="AZ10" s="41">
        <f t="shared" si="3"/>
        <v>22.865243253859806</v>
      </c>
      <c r="BA10" s="41">
        <f t="shared" si="3"/>
        <v>22.871660241771249</v>
      </c>
      <c r="BB10" s="41">
        <f t="shared" si="3"/>
        <v>22.877771658829761</v>
      </c>
      <c r="BC10" s="41">
        <f t="shared" si="3"/>
        <v>22.883592056028345</v>
      </c>
      <c r="BD10" s="41">
        <f t="shared" si="3"/>
        <v>22.889135291455567</v>
      </c>
      <c r="BE10" s="41">
        <f t="shared" si="3"/>
        <v>22.894414563291019</v>
      </c>
      <c r="BF10" s="41">
        <f t="shared" si="3"/>
        <v>22.899442441229542</v>
      </c>
      <c r="BG10" s="41">
        <f t="shared" si="3"/>
        <v>22.904230896409089</v>
      </c>
      <c r="BH10" s="41">
        <f t="shared" si="3"/>
        <v>22.90879132991342</v>
      </c>
      <c r="BI10" s="41">
        <f t="shared" si="3"/>
        <v>22.913134599917544</v>
      </c>
      <c r="BJ10" s="41">
        <f t="shared" si="3"/>
        <v>22.91727104754052</v>
      </c>
      <c r="BK10" s="41">
        <f t="shared" si="3"/>
        <v>22.921210521467167</v>
      </c>
      <c r="BL10" s="41">
        <f t="shared" si="3"/>
        <v>22.924962401397302</v>
      </c>
      <c r="BM10" s="41">
        <f t="shared" si="3"/>
        <v>22.928535620378383</v>
      </c>
      <c r="BN10" s="41">
        <f t="shared" si="3"/>
        <v>22.931938686074652</v>
      </c>
      <c r="BO10" s="41">
        <f t="shared" si="3"/>
        <v>22.935179701023479</v>
      </c>
      <c r="BP10" s="41">
        <f t="shared" si="3"/>
        <v>22.938266381927125</v>
      </c>
      <c r="BQ10" s="41">
        <f t="shared" si="3"/>
        <v>22.941206078025836</v>
      </c>
      <c r="BR10" s="41">
        <f t="shared" si="3"/>
        <v>22.944005788596034</v>
      </c>
      <c r="BS10" s="41">
        <f t="shared" si="3"/>
        <v>22.94667217961527</v>
      </c>
      <c r="BT10" s="41">
        <f t="shared" si="3"/>
        <v>22.949211599633593</v>
      </c>
      <c r="BU10" s="41">
        <f t="shared" si="3"/>
        <v>22.951630094889136</v>
      </c>
      <c r="BV10" s="41">
        <f t="shared" si="3"/>
        <v>22.953933423703944</v>
      </c>
      <c r="BW10" s="41">
        <f t="shared" si="3"/>
        <v>22.956127070194235</v>
      </c>
      <c r="BX10" s="41">
        <f t="shared" si="3"/>
        <v>22.958216257327841</v>
      </c>
      <c r="BY10" s="41">
        <f t="shared" si="3"/>
        <v>22.960205959359854</v>
      </c>
      <c r="BZ10" s="41">
        <f t="shared" si="3"/>
        <v>22.962100913676053</v>
      </c>
      <c r="CA10" s="41">
        <f t="shared" si="3"/>
        <v>22.963905632072432</v>
      </c>
      <c r="CB10" s="41">
        <f t="shared" si="3"/>
        <v>22.965624411497558</v>
      </c>
      <c r="CC10" s="41">
        <f t="shared" si="3"/>
        <v>22.967261344283393</v>
      </c>
      <c r="CD10" s="41">
        <f t="shared" si="3"/>
        <v>22.968820327888945</v>
      </c>
      <c r="CE10" s="41">
        <f t="shared" si="3"/>
        <v>22.970305074179951</v>
      </c>
      <c r="CF10" s="41">
        <f t="shared" si="3"/>
        <v>22.971719118266623</v>
      </c>
      <c r="CG10" s="41">
        <f t="shared" si="3"/>
        <v>22.973065826920593</v>
      </c>
      <c r="CH10" s="41">
        <f t="shared" si="3"/>
        <v>22.974348406591044</v>
      </c>
      <c r="CI10" s="41">
        <f t="shared" si="3"/>
        <v>22.975569911039091</v>
      </c>
      <c r="CJ10" s="41">
        <f t="shared" si="3"/>
        <v>22.97673324860866</v>
      </c>
      <c r="CK10" s="41">
        <f t="shared" si="3"/>
        <v>22.977841189151107</v>
      </c>
      <c r="CL10" s="41">
        <f t="shared" si="3"/>
        <v>22.978896370620102</v>
      </c>
      <c r="CM10" s="41">
        <f t="shared" si="3"/>
        <v>22.979901305352481</v>
      </c>
      <c r="CN10" s="41">
        <f t="shared" si="3"/>
        <v>22.980858386049981</v>
      </c>
      <c r="CO10" s="41">
        <f t="shared" si="3"/>
        <v>22.981769891476173</v>
      </c>
      <c r="CP10" s="41">
        <f t="shared" si="3"/>
        <v>22.982637991882072</v>
      </c>
      <c r="CQ10" s="41">
        <f t="shared" si="3"/>
        <v>22.983464754173408</v>
      </c>
      <c r="CR10" s="41">
        <f t="shared" si="3"/>
        <v>22.984252146831817</v>
      </c>
      <c r="CS10" s="41">
        <f t="shared" si="3"/>
        <v>22.985002044601732</v>
      </c>
      <c r="CT10" s="41">
        <f t="shared" si="3"/>
        <v>22.985716232954033</v>
      </c>
      <c r="CU10" s="41">
        <f t="shared" si="3"/>
        <v>22.986396412337175</v>
      </c>
      <c r="CV10" s="41">
        <f t="shared" si="3"/>
        <v>22.987044202225881</v>
      </c>
    </row>
    <row r="11" spans="1:100" ht="12" customHeight="1" x14ac:dyDescent="0.25">
      <c r="A11" s="41"/>
      <c r="B11" s="41"/>
      <c r="C11" s="41"/>
      <c r="D11" s="41"/>
      <c r="E11" s="41"/>
      <c r="F11" s="41"/>
      <c r="G11" s="41"/>
      <c r="H11" s="41"/>
      <c r="I11" s="41"/>
      <c r="J11" s="41"/>
      <c r="K11" s="41"/>
      <c r="L11" s="41"/>
      <c r="M11" s="41"/>
      <c r="N11" s="41"/>
      <c r="O11" s="41"/>
      <c r="P11" s="41"/>
      <c r="Q11" s="41"/>
      <c r="R11" s="41"/>
      <c r="S11" s="41"/>
      <c r="T11" s="41"/>
      <c r="U11" s="41"/>
      <c r="V11" s="41"/>
      <c r="W11" s="41"/>
      <c r="X11" s="41"/>
      <c r="Y11" s="41"/>
      <c r="Z11" s="41"/>
      <c r="AA11" s="41"/>
      <c r="AB11" s="41"/>
      <c r="AC11" s="41"/>
      <c r="AD11" s="41"/>
      <c r="AE11" s="41"/>
      <c r="AF11" s="41"/>
      <c r="AG11" s="41"/>
      <c r="AH11" s="41"/>
      <c r="AI11" s="41"/>
      <c r="AJ11" s="41"/>
      <c r="AK11" s="41"/>
      <c r="AL11" s="41"/>
      <c r="AM11" s="41"/>
      <c r="AN11" s="41"/>
      <c r="AO11" s="41"/>
      <c r="AP11" s="41"/>
      <c r="AQ11" s="41"/>
      <c r="AR11" s="41"/>
      <c r="AS11" s="41"/>
      <c r="AT11" s="41"/>
      <c r="AU11" s="41"/>
      <c r="AV11" s="41"/>
      <c r="AW11" s="41"/>
      <c r="AX11" s="41"/>
      <c r="AY11" s="41"/>
      <c r="AZ11" s="41"/>
      <c r="BA11" s="41"/>
      <c r="BB11" s="41"/>
      <c r="BC11" s="41"/>
      <c r="BD11" s="41"/>
      <c r="BE11" s="41"/>
      <c r="BF11" s="41"/>
      <c r="BG11" s="41"/>
      <c r="BH11" s="41"/>
      <c r="BI11" s="41"/>
      <c r="BJ11" s="41"/>
      <c r="BK11" s="41"/>
      <c r="BL11" s="41"/>
      <c r="BM11" s="41"/>
      <c r="BN11" s="41"/>
      <c r="BO11" s="41"/>
      <c r="BP11" s="41"/>
      <c r="BQ11" s="41"/>
      <c r="BR11" s="41"/>
      <c r="BS11" s="41"/>
      <c r="BT11" s="41"/>
      <c r="BU11" s="41"/>
      <c r="BV11" s="41"/>
      <c r="BW11" s="41"/>
      <c r="BX11" s="41"/>
      <c r="BY11" s="41"/>
      <c r="BZ11" s="41"/>
      <c r="CA11" s="41"/>
      <c r="CB11" s="41"/>
      <c r="CC11" s="41"/>
      <c r="CD11" s="41"/>
      <c r="CE11" s="41"/>
      <c r="CF11" s="41"/>
      <c r="CG11" s="41"/>
      <c r="CH11" s="41"/>
      <c r="CI11" s="41"/>
      <c r="CJ11" s="41"/>
      <c r="CK11" s="41"/>
      <c r="CL11" s="41"/>
      <c r="CM11" s="41"/>
      <c r="CN11" s="41"/>
      <c r="CO11" s="41"/>
      <c r="CP11" s="41"/>
      <c r="CQ11" s="41"/>
      <c r="CR11" s="41"/>
      <c r="CS11" s="41"/>
      <c r="CT11" s="41"/>
      <c r="CU11" s="41"/>
      <c r="CV11" s="41"/>
    </row>
    <row r="12" spans="1:100" ht="12" customHeight="1" x14ac:dyDescent="0.25">
      <c r="A12" s="23"/>
      <c r="B12" s="23"/>
      <c r="C12" s="23"/>
      <c r="D12" s="23"/>
      <c r="E12" s="23"/>
      <c r="F12" s="23"/>
      <c r="G12" s="23"/>
      <c r="H12" s="23"/>
      <c r="I12" s="23"/>
      <c r="J12" s="23"/>
      <c r="K12" s="23"/>
      <c r="L12" s="23"/>
      <c r="M12" s="23"/>
      <c r="N12" s="23"/>
      <c r="O12" s="23"/>
      <c r="P12" s="23"/>
      <c r="Q12" s="23"/>
      <c r="R12" s="23"/>
      <c r="S12" s="23"/>
      <c r="T12" s="23"/>
      <c r="U12" s="23"/>
      <c r="V12" s="23"/>
      <c r="W12" s="23"/>
      <c r="X12" s="23"/>
      <c r="Y12" s="23"/>
      <c r="Z12" s="23"/>
      <c r="AA12" s="23"/>
      <c r="AB12" s="23"/>
      <c r="AC12" s="23"/>
      <c r="AD12" s="23"/>
      <c r="AE12" s="23"/>
      <c r="AF12" s="23"/>
      <c r="AG12" s="23"/>
      <c r="AH12" s="23"/>
      <c r="AI12" s="23"/>
      <c r="AJ12" s="23"/>
      <c r="AK12" s="23"/>
      <c r="AL12" s="23"/>
      <c r="AM12" s="23"/>
      <c r="AN12" s="23"/>
      <c r="AO12" s="23"/>
      <c r="AP12" s="23"/>
      <c r="AQ12" s="23"/>
      <c r="AR12" s="23"/>
      <c r="AS12" s="23"/>
      <c r="AT12" s="23"/>
      <c r="AU12" s="23"/>
      <c r="AV12" s="23"/>
      <c r="AW12" s="23"/>
      <c r="AX12" s="23"/>
      <c r="AY12" s="23"/>
      <c r="AZ12" s="23"/>
      <c r="BA12" s="23"/>
      <c r="BB12" s="23"/>
      <c r="BC12" s="23"/>
      <c r="BD12" s="23"/>
      <c r="BE12" s="23"/>
      <c r="BF12" s="23"/>
      <c r="BG12" s="23"/>
      <c r="BH12" s="23"/>
      <c r="BI12" s="23"/>
      <c r="BJ12" s="23"/>
      <c r="BK12" s="23"/>
      <c r="BL12" s="23"/>
      <c r="BM12" s="23"/>
      <c r="BN12" s="23"/>
      <c r="BO12" s="23"/>
      <c r="BP12" s="23"/>
      <c r="BQ12" s="23"/>
      <c r="BR12" s="23"/>
      <c r="BS12" s="23"/>
      <c r="BT12" s="23"/>
      <c r="BU12" s="23"/>
      <c r="BV12" s="23"/>
      <c r="BW12" s="23"/>
      <c r="BX12" s="23"/>
      <c r="BY12" s="23"/>
      <c r="BZ12" s="23"/>
      <c r="CA12" s="23"/>
      <c r="CB12" s="23"/>
      <c r="CC12" s="23"/>
      <c r="CD12" s="23"/>
      <c r="CE12" s="23"/>
      <c r="CF12" s="23"/>
      <c r="CG12" s="23"/>
      <c r="CH12" s="23"/>
      <c r="CI12" s="23"/>
      <c r="CJ12" s="23"/>
      <c r="CK12" s="23"/>
      <c r="CL12" s="23"/>
      <c r="CM12" s="23"/>
      <c r="CN12" s="23"/>
      <c r="CO12" s="23"/>
      <c r="CP12" s="23"/>
      <c r="CQ12" s="23"/>
      <c r="CR12" s="23"/>
      <c r="CS12" s="23"/>
      <c r="CT12" s="23"/>
      <c r="CU12" s="23"/>
      <c r="CV12" s="23"/>
    </row>
    <row r="13" spans="1:100" ht="12" customHeight="1" x14ac:dyDescent="0.25">
      <c r="A13" s="23"/>
      <c r="B13" s="23"/>
      <c r="C13" s="23"/>
      <c r="D13" s="23"/>
      <c r="E13" s="23"/>
      <c r="F13" s="23"/>
      <c r="G13" s="23"/>
      <c r="H13" s="23"/>
      <c r="I13" s="23"/>
      <c r="J13" s="23"/>
      <c r="K13" s="23"/>
      <c r="L13" s="23"/>
      <c r="M13" s="23"/>
      <c r="N13" s="23"/>
      <c r="O13" s="23"/>
      <c r="P13" s="23"/>
      <c r="Q13" s="23"/>
      <c r="R13" s="23"/>
      <c r="S13" s="23"/>
      <c r="T13" s="23"/>
      <c r="U13" s="23"/>
      <c r="V13" s="23"/>
      <c r="W13" s="23"/>
      <c r="X13" s="23"/>
      <c r="Y13" s="23"/>
      <c r="Z13" s="23"/>
      <c r="AA13" s="23"/>
      <c r="AB13" s="23"/>
      <c r="AC13" s="23"/>
      <c r="AD13" s="23"/>
      <c r="AE13" s="23"/>
      <c r="AF13" s="23"/>
      <c r="AG13" s="23"/>
      <c r="AH13" s="23"/>
      <c r="AI13" s="23"/>
      <c r="AJ13" s="23"/>
      <c r="AK13" s="23"/>
      <c r="AL13" s="23"/>
      <c r="AM13" s="23"/>
      <c r="AN13" s="23"/>
      <c r="AO13" s="23"/>
      <c r="AP13" s="23"/>
      <c r="AQ13" s="23"/>
      <c r="AR13" s="23"/>
      <c r="AS13" s="23"/>
      <c r="AT13" s="23"/>
      <c r="AU13" s="23"/>
      <c r="AV13" s="23"/>
      <c r="AW13" s="23"/>
      <c r="AX13" s="23"/>
      <c r="AY13" s="23"/>
      <c r="AZ13" s="23"/>
      <c r="BA13" s="23"/>
      <c r="BB13" s="23"/>
      <c r="BC13" s="23"/>
      <c r="BD13" s="23"/>
      <c r="BE13" s="23"/>
      <c r="BF13" s="23"/>
      <c r="BG13" s="23"/>
      <c r="BH13" s="23"/>
      <c r="BI13" s="23"/>
      <c r="BJ13" s="23"/>
      <c r="BK13" s="23"/>
      <c r="BL13" s="23"/>
      <c r="BM13" s="23"/>
      <c r="BN13" s="23"/>
      <c r="BO13" s="23"/>
      <c r="BP13" s="23"/>
      <c r="BQ13" s="23"/>
      <c r="BR13" s="23"/>
      <c r="BS13" s="23"/>
      <c r="BT13" s="23"/>
      <c r="BU13" s="23"/>
      <c r="BV13" s="23"/>
      <c r="BW13" s="23"/>
      <c r="BX13" s="23"/>
      <c r="BY13" s="23"/>
      <c r="BZ13" s="23"/>
      <c r="CA13" s="23"/>
      <c r="CB13" s="23"/>
      <c r="CC13" s="23"/>
      <c r="CD13" s="23"/>
      <c r="CE13" s="23"/>
      <c r="CF13" s="23"/>
      <c r="CG13" s="23"/>
      <c r="CH13" s="23"/>
      <c r="CI13" s="23"/>
      <c r="CJ13" s="23"/>
      <c r="CK13" s="23"/>
      <c r="CL13" s="23"/>
      <c r="CM13" s="23"/>
      <c r="CN13" s="23"/>
      <c r="CO13" s="23"/>
      <c r="CP13" s="23"/>
      <c r="CQ13" s="23"/>
      <c r="CR13" s="23"/>
      <c r="CS13" s="23"/>
      <c r="CT13" s="23"/>
      <c r="CU13" s="23"/>
      <c r="CV13" s="23"/>
    </row>
    <row r="14" spans="1:100" ht="12" customHeight="1" x14ac:dyDescent="0.25">
      <c r="A14" s="23"/>
      <c r="B14" s="23"/>
      <c r="C14" s="23"/>
      <c r="D14" s="23"/>
      <c r="E14" s="23"/>
      <c r="F14" s="23"/>
      <c r="G14" s="23"/>
      <c r="H14" s="23"/>
      <c r="I14" s="23"/>
      <c r="J14" s="23"/>
      <c r="K14" s="23"/>
      <c r="L14" s="23"/>
      <c r="M14" s="23"/>
      <c r="N14" s="23"/>
      <c r="O14" s="23"/>
      <c r="P14" s="23"/>
      <c r="Q14" s="23"/>
      <c r="R14" s="23"/>
      <c r="S14" s="23"/>
      <c r="T14" s="23"/>
      <c r="U14" s="23"/>
      <c r="V14" s="23"/>
      <c r="W14" s="23"/>
      <c r="X14" s="23"/>
      <c r="Y14" s="23"/>
      <c r="Z14" s="23"/>
      <c r="AA14" s="23"/>
      <c r="AB14" s="23"/>
      <c r="AC14" s="23"/>
      <c r="AD14" s="23"/>
      <c r="AE14" s="23"/>
      <c r="AF14" s="23"/>
      <c r="AG14" s="23"/>
      <c r="AH14" s="23"/>
      <c r="AI14" s="23"/>
      <c r="AJ14" s="23"/>
      <c r="AK14" s="23"/>
      <c r="AL14" s="23"/>
      <c r="AM14" s="23"/>
      <c r="AN14" s="23"/>
      <c r="AO14" s="23"/>
      <c r="AP14" s="23"/>
      <c r="AQ14" s="23"/>
      <c r="AR14" s="23"/>
      <c r="AS14" s="23"/>
      <c r="AT14" s="23"/>
      <c r="AU14" s="23"/>
      <c r="AV14" s="23"/>
      <c r="AW14" s="23"/>
      <c r="AX14" s="23"/>
      <c r="AY14" s="23"/>
      <c r="AZ14" s="23"/>
      <c r="BA14" s="23"/>
      <c r="BB14" s="23"/>
      <c r="BC14" s="23"/>
      <c r="BD14" s="23"/>
      <c r="BE14" s="23"/>
      <c r="BF14" s="23"/>
      <c r="BG14" s="23"/>
      <c r="BH14" s="23"/>
      <c r="BI14" s="23"/>
      <c r="BJ14" s="23"/>
      <c r="BK14" s="23"/>
      <c r="BL14" s="23"/>
      <c r="BM14" s="23"/>
      <c r="BN14" s="23"/>
      <c r="BO14" s="23"/>
      <c r="BP14" s="23"/>
      <c r="BQ14" s="23"/>
      <c r="BR14" s="23"/>
      <c r="BS14" s="23"/>
      <c r="BT14" s="23"/>
      <c r="BU14" s="23"/>
      <c r="BV14" s="23"/>
      <c r="BW14" s="23"/>
      <c r="BX14" s="23"/>
      <c r="BY14" s="23"/>
      <c r="BZ14" s="23"/>
      <c r="CA14" s="23"/>
      <c r="CB14" s="23"/>
      <c r="CC14" s="23"/>
      <c r="CD14" s="23"/>
      <c r="CE14" s="23"/>
      <c r="CF14" s="23"/>
      <c r="CG14" s="23"/>
      <c r="CH14" s="23"/>
      <c r="CI14" s="23"/>
      <c r="CJ14" s="23"/>
      <c r="CK14" s="23"/>
      <c r="CL14" s="23"/>
      <c r="CM14" s="23"/>
      <c r="CN14" s="23"/>
      <c r="CO14" s="23"/>
      <c r="CP14" s="23"/>
      <c r="CQ14" s="23"/>
      <c r="CR14" s="23"/>
      <c r="CS14" s="23"/>
      <c r="CT14" s="23"/>
      <c r="CU14" s="23"/>
      <c r="CV14" s="23"/>
    </row>
    <row r="15" spans="1:100" ht="12" customHeight="1" x14ac:dyDescent="0.25">
      <c r="A15" s="23"/>
      <c r="B15" s="23"/>
      <c r="C15" s="23"/>
      <c r="D15" s="23"/>
      <c r="E15" s="23"/>
      <c r="F15" s="23"/>
      <c r="G15" s="23"/>
      <c r="H15" s="23"/>
      <c r="I15" s="23"/>
      <c r="J15" s="23"/>
      <c r="K15" s="23"/>
      <c r="L15" s="23"/>
      <c r="M15" s="23"/>
      <c r="N15" s="23"/>
      <c r="O15" s="23"/>
      <c r="P15" s="23"/>
      <c r="Q15" s="23"/>
      <c r="R15" s="23"/>
      <c r="S15" s="23"/>
      <c r="T15" s="23"/>
      <c r="U15" s="23"/>
      <c r="V15" s="23"/>
      <c r="W15" s="23"/>
      <c r="X15" s="23"/>
      <c r="Y15" s="23"/>
      <c r="Z15" s="23"/>
      <c r="AA15" s="23"/>
      <c r="AB15" s="23"/>
      <c r="AC15" s="23"/>
      <c r="AD15" s="23"/>
      <c r="AE15" s="23"/>
      <c r="AF15" s="23"/>
      <c r="AG15" s="23"/>
      <c r="AH15" s="23"/>
      <c r="AI15" s="23"/>
      <c r="AJ15" s="23"/>
      <c r="AK15" s="23"/>
      <c r="AL15" s="23"/>
      <c r="AM15" s="23"/>
      <c r="AN15" s="23"/>
      <c r="AO15" s="23"/>
      <c r="AP15" s="23"/>
      <c r="AQ15" s="23"/>
      <c r="AR15" s="23"/>
      <c r="AS15" s="23"/>
      <c r="AT15" s="23"/>
      <c r="AU15" s="23"/>
      <c r="AV15" s="23"/>
      <c r="AW15" s="23"/>
      <c r="AX15" s="23"/>
      <c r="AY15" s="23"/>
      <c r="AZ15" s="23"/>
      <c r="BA15" s="23"/>
      <c r="BB15" s="23"/>
      <c r="BC15" s="23"/>
      <c r="BD15" s="23"/>
      <c r="BE15" s="23"/>
      <c r="BF15" s="23"/>
      <c r="BG15" s="23"/>
      <c r="BH15" s="23"/>
      <c r="BI15" s="23"/>
      <c r="BJ15" s="23"/>
      <c r="BK15" s="23"/>
      <c r="BL15" s="23"/>
      <c r="BM15" s="23"/>
      <c r="BN15" s="23"/>
      <c r="BO15" s="23"/>
      <c r="BP15" s="23"/>
      <c r="BQ15" s="23"/>
      <c r="BR15" s="23"/>
      <c r="BS15" s="23"/>
      <c r="BT15" s="23"/>
      <c r="BU15" s="23"/>
      <c r="BV15" s="23"/>
      <c r="BW15" s="23"/>
      <c r="BX15" s="23"/>
      <c r="BY15" s="23"/>
      <c r="BZ15" s="23"/>
      <c r="CA15" s="23"/>
      <c r="CB15" s="23"/>
      <c r="CC15" s="23"/>
      <c r="CD15" s="23"/>
      <c r="CE15" s="23"/>
      <c r="CF15" s="23"/>
      <c r="CG15" s="23"/>
      <c r="CH15" s="23"/>
      <c r="CI15" s="23"/>
      <c r="CJ15" s="23"/>
      <c r="CK15" s="23"/>
      <c r="CL15" s="23"/>
      <c r="CM15" s="23"/>
      <c r="CN15" s="23"/>
      <c r="CO15" s="23"/>
      <c r="CP15" s="23"/>
      <c r="CQ15" s="23"/>
      <c r="CR15" s="23"/>
      <c r="CS15" s="23"/>
      <c r="CT15" s="23"/>
      <c r="CU15" s="23"/>
      <c r="CV15" s="23"/>
    </row>
    <row r="16" spans="1:100" ht="12" customHeight="1" x14ac:dyDescent="0.25">
      <c r="A16" s="23"/>
      <c r="B16" s="23"/>
      <c r="C16" s="23"/>
      <c r="D16" s="23"/>
      <c r="E16" s="23"/>
      <c r="F16" s="23"/>
      <c r="G16" s="23"/>
      <c r="H16" s="23"/>
      <c r="I16" s="23"/>
      <c r="J16" s="23"/>
      <c r="K16" s="23"/>
      <c r="L16" s="23"/>
      <c r="M16" s="23"/>
      <c r="N16" s="23"/>
      <c r="O16" s="23"/>
      <c r="P16" s="23"/>
      <c r="Q16" s="23"/>
      <c r="R16" s="23"/>
      <c r="S16" s="23"/>
      <c r="T16" s="23"/>
      <c r="U16" s="23"/>
      <c r="V16" s="23"/>
      <c r="W16" s="23"/>
      <c r="X16" s="23"/>
      <c r="Y16" s="23"/>
      <c r="Z16" s="23"/>
      <c r="AA16" s="23"/>
      <c r="AB16" s="23"/>
      <c r="AC16" s="23"/>
      <c r="AD16" s="23"/>
      <c r="AE16" s="23"/>
      <c r="AF16" s="23"/>
      <c r="AG16" s="23"/>
      <c r="AH16" s="23"/>
      <c r="AI16" s="23"/>
      <c r="AJ16" s="23"/>
      <c r="AK16" s="23"/>
      <c r="AL16" s="23"/>
      <c r="AM16" s="23"/>
      <c r="AN16" s="23"/>
      <c r="AO16" s="23"/>
      <c r="AP16" s="23"/>
      <c r="AQ16" s="23"/>
      <c r="AR16" s="23"/>
      <c r="AS16" s="23"/>
      <c r="AT16" s="23"/>
      <c r="AU16" s="23"/>
      <c r="AV16" s="23"/>
      <c r="AW16" s="23"/>
      <c r="AX16" s="23"/>
      <c r="AY16" s="23"/>
      <c r="AZ16" s="23"/>
      <c r="BA16" s="23"/>
      <c r="BB16" s="23"/>
      <c r="BC16" s="23"/>
      <c r="BD16" s="23"/>
      <c r="BE16" s="23"/>
      <c r="BF16" s="23"/>
      <c r="BG16" s="23"/>
      <c r="BH16" s="23"/>
      <c r="BI16" s="23"/>
      <c r="BJ16" s="23"/>
      <c r="BK16" s="23"/>
      <c r="BL16" s="23"/>
      <c r="BM16" s="23"/>
      <c r="BN16" s="23"/>
      <c r="BO16" s="23"/>
      <c r="BP16" s="23"/>
      <c r="BQ16" s="23"/>
      <c r="BR16" s="23"/>
      <c r="BS16" s="23"/>
      <c r="BT16" s="23"/>
      <c r="BU16" s="23"/>
      <c r="BV16" s="23"/>
      <c r="BW16" s="23"/>
      <c r="BX16" s="23"/>
      <c r="BY16" s="23"/>
      <c r="BZ16" s="23"/>
      <c r="CA16" s="23"/>
      <c r="CB16" s="23"/>
      <c r="CC16" s="23"/>
      <c r="CD16" s="23"/>
      <c r="CE16" s="23"/>
      <c r="CF16" s="23"/>
      <c r="CG16" s="23"/>
      <c r="CH16" s="23"/>
      <c r="CI16" s="23"/>
      <c r="CJ16" s="23"/>
      <c r="CK16" s="23"/>
      <c r="CL16" s="23"/>
      <c r="CM16" s="23"/>
      <c r="CN16" s="23"/>
      <c r="CO16" s="23"/>
      <c r="CP16" s="23"/>
      <c r="CQ16" s="23"/>
      <c r="CR16" s="23"/>
      <c r="CS16" s="23"/>
      <c r="CT16" s="23"/>
      <c r="CU16" s="23"/>
      <c r="CV16" s="23"/>
    </row>
    <row r="17" spans="1:100" ht="12" customHeight="1" x14ac:dyDescent="0.25">
      <c r="A17" s="23"/>
      <c r="B17" s="23"/>
      <c r="C17" s="23"/>
      <c r="D17" s="23"/>
      <c r="E17" s="23"/>
      <c r="F17" s="23"/>
      <c r="G17" s="23"/>
      <c r="H17" s="23"/>
      <c r="I17" s="23"/>
      <c r="J17" s="23"/>
      <c r="K17" s="23"/>
      <c r="L17" s="23"/>
      <c r="M17" s="23"/>
      <c r="N17" s="23"/>
      <c r="O17" s="23"/>
      <c r="P17" s="23"/>
      <c r="Q17" s="23"/>
      <c r="R17" s="23"/>
      <c r="S17" s="23"/>
      <c r="T17" s="23"/>
      <c r="U17" s="23"/>
      <c r="V17" s="23"/>
      <c r="W17" s="23"/>
      <c r="X17" s="23"/>
      <c r="Y17" s="23"/>
      <c r="Z17" s="23"/>
      <c r="AA17" s="23"/>
      <c r="AB17" s="23"/>
      <c r="AC17" s="23"/>
      <c r="AD17" s="23"/>
      <c r="AE17" s="23"/>
      <c r="AF17" s="23"/>
      <c r="AG17" s="23"/>
      <c r="AH17" s="23"/>
      <c r="AI17" s="23"/>
      <c r="AJ17" s="23"/>
      <c r="AK17" s="23"/>
      <c r="AL17" s="23"/>
      <c r="AM17" s="23"/>
      <c r="AN17" s="23"/>
      <c r="AO17" s="23"/>
      <c r="AP17" s="23"/>
      <c r="AQ17" s="23"/>
      <c r="AR17" s="23"/>
      <c r="AS17" s="23"/>
      <c r="AT17" s="23"/>
      <c r="AU17" s="23"/>
      <c r="AV17" s="23"/>
      <c r="AW17" s="23"/>
      <c r="AX17" s="23"/>
      <c r="AY17" s="23"/>
      <c r="AZ17" s="23"/>
      <c r="BA17" s="23"/>
      <c r="BB17" s="23"/>
      <c r="BC17" s="23"/>
      <c r="BD17" s="23"/>
      <c r="BE17" s="23"/>
      <c r="BF17" s="23"/>
      <c r="BG17" s="23"/>
      <c r="BH17" s="23"/>
      <c r="BI17" s="23"/>
      <c r="BJ17" s="23"/>
      <c r="BK17" s="23"/>
      <c r="BL17" s="23"/>
      <c r="BM17" s="23"/>
      <c r="BN17" s="23"/>
      <c r="BO17" s="23"/>
      <c r="BP17" s="23"/>
      <c r="BQ17" s="23"/>
      <c r="BR17" s="23"/>
      <c r="BS17" s="23"/>
      <c r="BT17" s="23"/>
      <c r="BU17" s="23"/>
      <c r="BV17" s="23"/>
      <c r="BW17" s="23"/>
      <c r="BX17" s="23"/>
      <c r="BY17" s="23"/>
      <c r="BZ17" s="23"/>
      <c r="CA17" s="23"/>
      <c r="CB17" s="23"/>
      <c r="CC17" s="23"/>
      <c r="CD17" s="23"/>
      <c r="CE17" s="23"/>
      <c r="CF17" s="23"/>
      <c r="CG17" s="23"/>
      <c r="CH17" s="23"/>
      <c r="CI17" s="23"/>
      <c r="CJ17" s="23"/>
      <c r="CK17" s="23"/>
      <c r="CL17" s="23"/>
      <c r="CM17" s="23"/>
      <c r="CN17" s="23"/>
      <c r="CO17" s="23"/>
      <c r="CP17" s="23"/>
      <c r="CQ17" s="23"/>
      <c r="CR17" s="23"/>
      <c r="CS17" s="23"/>
      <c r="CT17" s="23"/>
      <c r="CU17" s="23"/>
      <c r="CV17" s="23"/>
    </row>
    <row r="18" spans="1:100" ht="12" customHeight="1" x14ac:dyDescent="0.25">
      <c r="A18" s="23"/>
      <c r="B18" s="23"/>
      <c r="C18" s="23"/>
      <c r="D18" s="23"/>
      <c r="E18" s="23"/>
      <c r="F18" s="23"/>
      <c r="G18" s="23"/>
      <c r="H18" s="23"/>
      <c r="I18" s="23"/>
      <c r="J18" s="23"/>
      <c r="K18" s="23"/>
      <c r="L18" s="23"/>
      <c r="M18" s="23"/>
      <c r="N18" s="23"/>
      <c r="O18" s="23"/>
      <c r="P18" s="23"/>
      <c r="Q18" s="23"/>
      <c r="R18" s="23"/>
      <c r="S18" s="23"/>
      <c r="T18" s="23"/>
      <c r="U18" s="23"/>
      <c r="V18" s="23"/>
      <c r="W18" s="23"/>
      <c r="X18" s="23"/>
      <c r="Y18" s="23"/>
      <c r="Z18" s="23"/>
      <c r="AA18" s="23"/>
      <c r="AB18" s="23"/>
      <c r="AC18" s="23"/>
      <c r="AD18" s="23"/>
      <c r="AE18" s="23"/>
      <c r="AF18" s="23"/>
      <c r="AG18" s="23"/>
      <c r="AH18" s="23"/>
      <c r="AI18" s="23"/>
      <c r="AJ18" s="23"/>
      <c r="AK18" s="23"/>
      <c r="AL18" s="23"/>
      <c r="AM18" s="23"/>
      <c r="AN18" s="23"/>
      <c r="AO18" s="23"/>
      <c r="AP18" s="23"/>
      <c r="AQ18" s="23"/>
      <c r="AR18" s="23"/>
      <c r="AS18" s="23"/>
      <c r="AT18" s="23"/>
      <c r="AU18" s="23"/>
      <c r="AV18" s="23"/>
      <c r="AW18" s="23"/>
      <c r="AX18" s="23"/>
      <c r="AY18" s="23"/>
      <c r="AZ18" s="23"/>
      <c r="BA18" s="23"/>
      <c r="BB18" s="23"/>
      <c r="BC18" s="23"/>
      <c r="BD18" s="23"/>
      <c r="BE18" s="23"/>
      <c r="BF18" s="23"/>
      <c r="BG18" s="23"/>
      <c r="BH18" s="23"/>
      <c r="BI18" s="23"/>
      <c r="BJ18" s="23"/>
      <c r="BK18" s="23"/>
      <c r="BL18" s="23"/>
      <c r="BM18" s="23"/>
      <c r="BN18" s="23"/>
      <c r="BO18" s="23"/>
      <c r="BP18" s="23"/>
      <c r="BQ18" s="23"/>
      <c r="BR18" s="23"/>
      <c r="BS18" s="23"/>
      <c r="BT18" s="23"/>
      <c r="BU18" s="23"/>
      <c r="BV18" s="23"/>
      <c r="BW18" s="23"/>
      <c r="BX18" s="23"/>
      <c r="BY18" s="23"/>
      <c r="BZ18" s="23"/>
      <c r="CA18" s="23"/>
      <c r="CB18" s="23"/>
      <c r="CC18" s="23"/>
      <c r="CD18" s="23"/>
      <c r="CE18" s="23"/>
      <c r="CF18" s="23"/>
      <c r="CG18" s="23"/>
      <c r="CH18" s="23"/>
      <c r="CI18" s="23"/>
      <c r="CJ18" s="23"/>
      <c r="CK18" s="23"/>
      <c r="CL18" s="23"/>
      <c r="CM18" s="23"/>
      <c r="CN18" s="23"/>
      <c r="CO18" s="23"/>
      <c r="CP18" s="23"/>
      <c r="CQ18" s="23"/>
      <c r="CR18" s="23"/>
      <c r="CS18" s="23"/>
      <c r="CT18" s="23"/>
      <c r="CU18" s="23"/>
      <c r="CV18" s="23"/>
    </row>
    <row r="19" spans="1:100" ht="12" customHeight="1" x14ac:dyDescent="0.25">
      <c r="A19" s="23"/>
      <c r="B19" s="23"/>
      <c r="C19" s="23"/>
      <c r="D19" s="23"/>
      <c r="E19" s="23"/>
      <c r="F19" s="23"/>
      <c r="G19" s="23"/>
      <c r="H19" s="23"/>
      <c r="I19" s="23"/>
      <c r="J19" s="23"/>
      <c r="K19" s="23"/>
      <c r="L19" s="23"/>
      <c r="M19" s="23"/>
      <c r="N19" s="23"/>
      <c r="O19" s="23"/>
      <c r="P19" s="23"/>
      <c r="Q19" s="23"/>
      <c r="R19" s="23"/>
      <c r="S19" s="23"/>
      <c r="T19" s="23"/>
      <c r="U19" s="23"/>
      <c r="V19" s="23"/>
      <c r="W19" s="23"/>
      <c r="X19" s="23"/>
      <c r="Y19" s="23"/>
      <c r="Z19" s="23"/>
      <c r="AA19" s="23"/>
      <c r="AB19" s="23"/>
      <c r="AC19" s="23"/>
      <c r="AD19" s="23"/>
      <c r="AE19" s="23"/>
      <c r="AF19" s="23"/>
      <c r="AG19" s="23"/>
      <c r="AH19" s="23"/>
      <c r="AI19" s="23"/>
      <c r="AJ19" s="23"/>
      <c r="AK19" s="23"/>
      <c r="AL19" s="23"/>
      <c r="AM19" s="23"/>
      <c r="AN19" s="23"/>
      <c r="AO19" s="23"/>
      <c r="AP19" s="23"/>
      <c r="AQ19" s="23"/>
      <c r="AR19" s="23"/>
      <c r="AS19" s="23"/>
      <c r="AT19" s="23"/>
      <c r="AU19" s="23"/>
      <c r="AV19" s="23"/>
      <c r="AW19" s="23"/>
      <c r="AX19" s="23"/>
      <c r="AY19" s="23"/>
      <c r="AZ19" s="23"/>
      <c r="BA19" s="23"/>
      <c r="BB19" s="23"/>
      <c r="BC19" s="23"/>
      <c r="BD19" s="23"/>
      <c r="BE19" s="23"/>
      <c r="BF19" s="23"/>
      <c r="BG19" s="23"/>
      <c r="BH19" s="23"/>
      <c r="BI19" s="23"/>
      <c r="BJ19" s="23"/>
      <c r="BK19" s="23"/>
      <c r="BL19" s="23"/>
      <c r="BM19" s="23"/>
      <c r="BN19" s="23"/>
      <c r="BO19" s="23"/>
      <c r="BP19" s="23"/>
      <c r="BQ19" s="23"/>
      <c r="BR19" s="23"/>
      <c r="BS19" s="23"/>
      <c r="BT19" s="23"/>
      <c r="BU19" s="23"/>
      <c r="BV19" s="23"/>
      <c r="BW19" s="23"/>
      <c r="BX19" s="23"/>
      <c r="BY19" s="23"/>
      <c r="BZ19" s="23"/>
      <c r="CA19" s="23"/>
      <c r="CB19" s="23"/>
      <c r="CC19" s="23"/>
      <c r="CD19" s="23"/>
      <c r="CE19" s="23"/>
      <c r="CF19" s="23"/>
      <c r="CG19" s="23"/>
      <c r="CH19" s="23"/>
      <c r="CI19" s="23"/>
      <c r="CJ19" s="23"/>
      <c r="CK19" s="23"/>
      <c r="CL19" s="23"/>
      <c r="CM19" s="23"/>
      <c r="CN19" s="23"/>
      <c r="CO19" s="23"/>
      <c r="CP19" s="23"/>
      <c r="CQ19" s="23"/>
      <c r="CR19" s="23"/>
      <c r="CS19" s="23"/>
      <c r="CT19" s="23"/>
      <c r="CU19" s="23"/>
      <c r="CV19" s="23"/>
    </row>
    <row r="20" spans="1:100" ht="12" customHeight="1" x14ac:dyDescent="0.25">
      <c r="A20" s="23"/>
      <c r="B20" s="23"/>
      <c r="C20" s="23"/>
      <c r="D20" s="23"/>
      <c r="E20" s="23"/>
      <c r="F20" s="23"/>
      <c r="G20" s="23"/>
      <c r="H20" s="23"/>
      <c r="I20" s="23"/>
      <c r="J20" s="23"/>
      <c r="K20" s="23"/>
      <c r="L20" s="23"/>
      <c r="M20" s="23"/>
      <c r="N20" s="23"/>
      <c r="O20" s="23"/>
      <c r="P20" s="23"/>
      <c r="Q20" s="23"/>
      <c r="R20" s="23"/>
      <c r="S20" s="23"/>
      <c r="T20" s="23"/>
      <c r="U20" s="23"/>
      <c r="V20" s="23"/>
      <c r="W20" s="23"/>
      <c r="X20" s="23"/>
      <c r="Y20" s="23"/>
      <c r="Z20" s="23"/>
      <c r="AA20" s="23"/>
      <c r="AB20" s="23"/>
      <c r="AC20" s="23"/>
      <c r="AD20" s="23"/>
      <c r="AE20" s="23"/>
      <c r="AF20" s="23"/>
      <c r="AG20" s="23"/>
      <c r="AH20" s="23"/>
      <c r="AI20" s="23"/>
      <c r="AJ20" s="23"/>
      <c r="AK20" s="23"/>
      <c r="AL20" s="23"/>
      <c r="AM20" s="23"/>
      <c r="AN20" s="23"/>
      <c r="AO20" s="23"/>
      <c r="AP20" s="23"/>
      <c r="AQ20" s="23"/>
      <c r="AR20" s="23"/>
      <c r="AS20" s="23"/>
      <c r="AT20" s="23"/>
      <c r="AU20" s="23"/>
      <c r="AV20" s="23"/>
      <c r="AW20" s="23"/>
      <c r="AX20" s="23"/>
      <c r="AY20" s="23"/>
      <c r="AZ20" s="23"/>
      <c r="BA20" s="23"/>
      <c r="BB20" s="23"/>
      <c r="BC20" s="23"/>
      <c r="BD20" s="23"/>
      <c r="BE20" s="23"/>
      <c r="BF20" s="23"/>
      <c r="BG20" s="23"/>
      <c r="BH20" s="23"/>
      <c r="BI20" s="23"/>
      <c r="BJ20" s="23"/>
      <c r="BK20" s="23"/>
      <c r="BL20" s="23"/>
      <c r="BM20" s="23"/>
      <c r="BN20" s="23"/>
      <c r="BO20" s="23"/>
      <c r="BP20" s="23"/>
      <c r="BQ20" s="23"/>
      <c r="BR20" s="23"/>
      <c r="BS20" s="23"/>
      <c r="BT20" s="23"/>
      <c r="BU20" s="23"/>
      <c r="BV20" s="23"/>
      <c r="BW20" s="23"/>
      <c r="BX20" s="23"/>
      <c r="BY20" s="23"/>
      <c r="BZ20" s="23"/>
      <c r="CA20" s="23"/>
      <c r="CB20" s="23"/>
      <c r="CC20" s="23"/>
      <c r="CD20" s="23"/>
      <c r="CE20" s="23"/>
      <c r="CF20" s="23"/>
      <c r="CG20" s="23"/>
      <c r="CH20" s="23"/>
      <c r="CI20" s="23"/>
      <c r="CJ20" s="23"/>
      <c r="CK20" s="23"/>
      <c r="CL20" s="23"/>
      <c r="CM20" s="23"/>
      <c r="CN20" s="23"/>
      <c r="CO20" s="23"/>
      <c r="CP20" s="23"/>
      <c r="CQ20" s="23"/>
      <c r="CR20" s="23"/>
      <c r="CS20" s="23"/>
      <c r="CT20" s="23"/>
      <c r="CU20" s="23"/>
      <c r="CV20" s="23"/>
    </row>
    <row r="21" spans="1:100" ht="12" customHeight="1" x14ac:dyDescent="0.25">
      <c r="A21" s="23"/>
      <c r="B21" s="23"/>
      <c r="C21" s="23"/>
      <c r="D21" s="23"/>
      <c r="E21" s="23"/>
      <c r="F21" s="23"/>
      <c r="G21" s="23"/>
      <c r="H21" s="23"/>
      <c r="I21" s="23"/>
      <c r="J21" s="23"/>
      <c r="K21" s="23"/>
      <c r="L21" s="23"/>
      <c r="M21" s="23"/>
      <c r="N21" s="23"/>
      <c r="O21" s="23"/>
      <c r="P21" s="23"/>
      <c r="Q21" s="23"/>
      <c r="R21" s="23"/>
      <c r="S21" s="23"/>
      <c r="T21" s="23"/>
      <c r="U21" s="23"/>
      <c r="V21" s="23"/>
      <c r="W21" s="23"/>
      <c r="X21" s="23"/>
      <c r="Y21" s="23"/>
      <c r="Z21" s="23"/>
      <c r="AA21" s="23"/>
      <c r="AB21" s="23"/>
      <c r="AC21" s="23"/>
      <c r="AD21" s="23"/>
      <c r="AE21" s="23"/>
      <c r="AF21" s="23"/>
      <c r="AG21" s="23"/>
      <c r="AH21" s="23"/>
      <c r="AI21" s="23"/>
      <c r="AJ21" s="23"/>
      <c r="AK21" s="23"/>
      <c r="AL21" s="23"/>
      <c r="AM21" s="23"/>
      <c r="AN21" s="23"/>
      <c r="AO21" s="23"/>
      <c r="AP21" s="23"/>
      <c r="AQ21" s="23"/>
      <c r="AR21" s="23"/>
      <c r="AS21" s="23"/>
      <c r="AT21" s="23"/>
      <c r="AU21" s="23"/>
      <c r="AV21" s="23"/>
      <c r="AW21" s="23"/>
      <c r="AX21" s="23"/>
      <c r="AY21" s="23"/>
      <c r="AZ21" s="23"/>
      <c r="BA21" s="23"/>
      <c r="BB21" s="23"/>
      <c r="BC21" s="23"/>
      <c r="BD21" s="23"/>
      <c r="BE21" s="23"/>
      <c r="BF21" s="23"/>
      <c r="BG21" s="23"/>
      <c r="BH21" s="23"/>
      <c r="BI21" s="23"/>
      <c r="BJ21" s="23"/>
      <c r="BK21" s="23"/>
      <c r="BL21" s="23"/>
      <c r="BM21" s="23"/>
      <c r="BN21" s="23"/>
      <c r="BO21" s="23"/>
      <c r="BP21" s="23"/>
      <c r="BQ21" s="23"/>
      <c r="BR21" s="23"/>
      <c r="BS21" s="23"/>
      <c r="BT21" s="23"/>
      <c r="BU21" s="23"/>
      <c r="BV21" s="23"/>
      <c r="BW21" s="23"/>
      <c r="BX21" s="23"/>
      <c r="BY21" s="23"/>
      <c r="BZ21" s="23"/>
      <c r="CA21" s="23"/>
      <c r="CB21" s="23"/>
      <c r="CC21" s="23"/>
      <c r="CD21" s="23"/>
      <c r="CE21" s="23"/>
      <c r="CF21" s="23"/>
      <c r="CG21" s="23"/>
      <c r="CH21" s="23"/>
      <c r="CI21" s="23"/>
      <c r="CJ21" s="23"/>
      <c r="CK21" s="23"/>
      <c r="CL21" s="23"/>
      <c r="CM21" s="23"/>
      <c r="CN21" s="23"/>
      <c r="CO21" s="23"/>
      <c r="CP21" s="23"/>
      <c r="CQ21" s="23"/>
      <c r="CR21" s="23"/>
      <c r="CS21" s="23"/>
      <c r="CT21" s="23"/>
      <c r="CU21" s="23"/>
      <c r="CV21" s="23"/>
    </row>
    <row r="22" spans="1:100" ht="12" customHeight="1" x14ac:dyDescent="0.25">
      <c r="A22" s="23"/>
      <c r="B22" s="23"/>
      <c r="C22" s="23"/>
      <c r="D22" s="23"/>
      <c r="E22" s="23"/>
      <c r="F22" s="23"/>
      <c r="G22" s="23"/>
      <c r="H22" s="23"/>
      <c r="I22" s="23"/>
      <c r="J22" s="23"/>
      <c r="K22" s="23"/>
      <c r="L22" s="23"/>
      <c r="M22" s="23"/>
      <c r="N22" s="23"/>
      <c r="O22" s="23"/>
      <c r="P22" s="23"/>
      <c r="Q22" s="23"/>
      <c r="R22" s="23"/>
      <c r="S22" s="23"/>
      <c r="T22" s="23"/>
      <c r="U22" s="23"/>
      <c r="V22" s="23"/>
      <c r="W22" s="23"/>
      <c r="X22" s="23"/>
      <c r="Y22" s="23"/>
      <c r="Z22" s="23"/>
      <c r="AA22" s="23"/>
      <c r="AB22" s="23"/>
      <c r="AC22" s="23"/>
      <c r="AD22" s="23"/>
      <c r="AE22" s="23"/>
      <c r="AF22" s="23"/>
      <c r="AG22" s="23"/>
      <c r="AH22" s="23"/>
      <c r="AI22" s="23"/>
      <c r="AJ22" s="23"/>
      <c r="AK22" s="23"/>
      <c r="AL22" s="23"/>
      <c r="AM22" s="23"/>
      <c r="AN22" s="23"/>
      <c r="AO22" s="23"/>
      <c r="AP22" s="23"/>
      <c r="AQ22" s="23"/>
      <c r="AR22" s="23"/>
      <c r="AS22" s="23"/>
      <c r="AT22" s="23"/>
      <c r="AU22" s="23"/>
      <c r="AV22" s="23"/>
      <c r="AW22" s="23"/>
      <c r="AX22" s="23"/>
      <c r="AY22" s="23"/>
      <c r="AZ22" s="23"/>
      <c r="BA22" s="23"/>
      <c r="BB22" s="23"/>
      <c r="BC22" s="23"/>
      <c r="BD22" s="23"/>
      <c r="BE22" s="23"/>
      <c r="BF22" s="23"/>
      <c r="BG22" s="23"/>
      <c r="BH22" s="23"/>
      <c r="BI22" s="23"/>
      <c r="BJ22" s="23"/>
      <c r="BK22" s="23"/>
      <c r="BL22" s="23"/>
      <c r="BM22" s="23"/>
      <c r="BN22" s="23"/>
      <c r="BO22" s="23"/>
      <c r="BP22" s="23"/>
      <c r="BQ22" s="23"/>
      <c r="BR22" s="23"/>
      <c r="BS22" s="23"/>
      <c r="BT22" s="23"/>
      <c r="BU22" s="23"/>
      <c r="BV22" s="23"/>
      <c r="BW22" s="23"/>
      <c r="BX22" s="23"/>
      <c r="BY22" s="23"/>
      <c r="BZ22" s="23"/>
      <c r="CA22" s="23"/>
      <c r="CB22" s="23"/>
      <c r="CC22" s="23"/>
      <c r="CD22" s="23"/>
      <c r="CE22" s="23"/>
      <c r="CF22" s="23"/>
      <c r="CG22" s="23"/>
      <c r="CH22" s="23"/>
      <c r="CI22" s="23"/>
      <c r="CJ22" s="23"/>
      <c r="CK22" s="23"/>
      <c r="CL22" s="23"/>
      <c r="CM22" s="23"/>
      <c r="CN22" s="23"/>
      <c r="CO22" s="23"/>
      <c r="CP22" s="23"/>
      <c r="CQ22" s="23"/>
      <c r="CR22" s="23"/>
      <c r="CS22" s="23"/>
      <c r="CT22" s="23"/>
      <c r="CU22" s="23"/>
      <c r="CV22" s="23"/>
    </row>
    <row r="23" spans="1:100" ht="12" customHeight="1" x14ac:dyDescent="0.25">
      <c r="A23" s="23"/>
      <c r="B23" s="23"/>
      <c r="C23" s="23"/>
      <c r="D23" s="23"/>
      <c r="E23" s="23"/>
      <c r="F23" s="23"/>
      <c r="G23" s="23"/>
      <c r="H23" s="23"/>
      <c r="I23" s="23"/>
      <c r="J23" s="23"/>
      <c r="K23" s="23"/>
      <c r="L23" s="23"/>
      <c r="M23" s="23"/>
      <c r="N23" s="23"/>
      <c r="O23" s="23"/>
      <c r="P23" s="23"/>
      <c r="Q23" s="23"/>
      <c r="R23" s="23"/>
      <c r="S23" s="23"/>
      <c r="T23" s="23"/>
      <c r="U23" s="23"/>
      <c r="V23" s="23"/>
      <c r="W23" s="23"/>
      <c r="X23" s="23"/>
      <c r="Y23" s="23"/>
      <c r="Z23" s="23"/>
      <c r="AA23" s="23"/>
      <c r="AB23" s="23"/>
      <c r="AC23" s="23"/>
      <c r="AD23" s="23"/>
      <c r="AE23" s="23"/>
      <c r="AF23" s="23"/>
      <c r="AG23" s="23"/>
      <c r="AH23" s="23"/>
      <c r="AI23" s="23"/>
      <c r="AJ23" s="23"/>
      <c r="AK23" s="23"/>
      <c r="AL23" s="23"/>
      <c r="AM23" s="23"/>
      <c r="AN23" s="23"/>
      <c r="AO23" s="23"/>
      <c r="AP23" s="23"/>
      <c r="AQ23" s="23"/>
      <c r="AR23" s="23"/>
      <c r="AS23" s="23"/>
      <c r="AT23" s="23"/>
      <c r="AU23" s="23"/>
      <c r="AV23" s="23"/>
      <c r="AW23" s="23"/>
      <c r="AX23" s="23"/>
      <c r="AY23" s="23"/>
      <c r="AZ23" s="23"/>
      <c r="BA23" s="23"/>
      <c r="BB23" s="23"/>
      <c r="BC23" s="23"/>
      <c r="BD23" s="23"/>
      <c r="BE23" s="23"/>
      <c r="BF23" s="23"/>
      <c r="BG23" s="23"/>
      <c r="BH23" s="23"/>
      <c r="BI23" s="23"/>
      <c r="BJ23" s="23"/>
      <c r="BK23" s="23"/>
      <c r="BL23" s="23"/>
      <c r="BM23" s="23"/>
      <c r="BN23" s="23"/>
      <c r="BO23" s="23"/>
      <c r="BP23" s="23"/>
      <c r="BQ23" s="23"/>
      <c r="BR23" s="23"/>
      <c r="BS23" s="23"/>
      <c r="BT23" s="23"/>
      <c r="BU23" s="23"/>
      <c r="BV23" s="23"/>
      <c r="BW23" s="23"/>
      <c r="BX23" s="23"/>
      <c r="BY23" s="23"/>
      <c r="BZ23" s="23"/>
      <c r="CA23" s="23"/>
      <c r="CB23" s="23"/>
      <c r="CC23" s="23"/>
      <c r="CD23" s="23"/>
      <c r="CE23" s="23"/>
      <c r="CF23" s="23"/>
      <c r="CG23" s="23"/>
      <c r="CH23" s="23"/>
      <c r="CI23" s="23"/>
      <c r="CJ23" s="23"/>
      <c r="CK23" s="23"/>
      <c r="CL23" s="23"/>
      <c r="CM23" s="23"/>
      <c r="CN23" s="23"/>
      <c r="CO23" s="23"/>
      <c r="CP23" s="23"/>
      <c r="CQ23" s="23"/>
      <c r="CR23" s="23"/>
      <c r="CS23" s="23"/>
      <c r="CT23" s="23"/>
      <c r="CU23" s="23"/>
      <c r="CV23" s="23"/>
    </row>
    <row r="24" spans="1:100" ht="12" customHeight="1" x14ac:dyDescent="0.25">
      <c r="A24" s="23"/>
      <c r="B24" s="23"/>
      <c r="C24" s="23"/>
      <c r="D24" s="23"/>
      <c r="E24" s="23"/>
      <c r="F24" s="23"/>
      <c r="G24" s="23"/>
      <c r="H24" s="23"/>
      <c r="I24" s="23"/>
      <c r="J24" s="23"/>
      <c r="K24" s="23"/>
      <c r="L24" s="23"/>
      <c r="M24" s="23"/>
      <c r="N24" s="23"/>
      <c r="O24" s="23"/>
      <c r="P24" s="23"/>
      <c r="Q24" s="23"/>
      <c r="R24" s="23"/>
      <c r="S24" s="23"/>
      <c r="T24" s="23"/>
      <c r="U24" s="23"/>
      <c r="V24" s="23"/>
      <c r="W24" s="23"/>
      <c r="X24" s="23"/>
      <c r="Y24" s="23"/>
      <c r="Z24" s="23"/>
      <c r="AA24" s="23"/>
      <c r="AB24" s="23"/>
      <c r="AC24" s="23"/>
      <c r="AD24" s="23"/>
      <c r="AE24" s="23"/>
      <c r="AF24" s="23"/>
      <c r="AG24" s="23"/>
      <c r="AH24" s="23"/>
      <c r="AI24" s="23"/>
      <c r="AJ24" s="23"/>
      <c r="AK24" s="23"/>
      <c r="AL24" s="23"/>
      <c r="AM24" s="23"/>
      <c r="AN24" s="23"/>
      <c r="AO24" s="23"/>
      <c r="AP24" s="23"/>
      <c r="AQ24" s="23"/>
      <c r="AR24" s="23"/>
      <c r="AS24" s="23"/>
      <c r="AT24" s="23"/>
      <c r="AU24" s="23"/>
      <c r="AV24" s="23"/>
      <c r="AW24" s="23"/>
      <c r="AX24" s="23"/>
      <c r="AY24" s="23"/>
      <c r="AZ24" s="23"/>
      <c r="BA24" s="23"/>
      <c r="BB24" s="23"/>
      <c r="BC24" s="23"/>
      <c r="BD24" s="23"/>
      <c r="BE24" s="23"/>
      <c r="BF24" s="23"/>
      <c r="BG24" s="23"/>
      <c r="BH24" s="23"/>
      <c r="BI24" s="23"/>
      <c r="BJ24" s="23"/>
      <c r="BK24" s="23"/>
      <c r="BL24" s="23"/>
      <c r="BM24" s="23"/>
      <c r="BN24" s="23"/>
      <c r="BO24" s="23"/>
      <c r="BP24" s="23"/>
      <c r="BQ24" s="23"/>
      <c r="BR24" s="23"/>
      <c r="BS24" s="23"/>
      <c r="BT24" s="23"/>
      <c r="BU24" s="23"/>
      <c r="BV24" s="23"/>
      <c r="BW24" s="23"/>
      <c r="BX24" s="23"/>
      <c r="BY24" s="23"/>
      <c r="BZ24" s="23"/>
      <c r="CA24" s="23"/>
      <c r="CB24" s="23"/>
      <c r="CC24" s="23"/>
      <c r="CD24" s="23"/>
      <c r="CE24" s="23"/>
      <c r="CF24" s="23"/>
      <c r="CG24" s="23"/>
      <c r="CH24" s="23"/>
      <c r="CI24" s="23"/>
      <c r="CJ24" s="23"/>
      <c r="CK24" s="23"/>
      <c r="CL24" s="23"/>
      <c r="CM24" s="23"/>
      <c r="CN24" s="23"/>
      <c r="CO24" s="23"/>
      <c r="CP24" s="23"/>
      <c r="CQ24" s="23"/>
      <c r="CR24" s="23"/>
      <c r="CS24" s="23"/>
      <c r="CT24" s="23"/>
      <c r="CU24" s="23"/>
      <c r="CV24" s="23"/>
    </row>
    <row r="25" spans="1:100" ht="12" customHeight="1" x14ac:dyDescent="0.25">
      <c r="A25" s="23"/>
      <c r="B25" s="23"/>
      <c r="C25" s="23"/>
      <c r="D25" s="23"/>
      <c r="E25" s="23"/>
      <c r="F25" s="23"/>
      <c r="G25" s="23"/>
      <c r="H25" s="23"/>
      <c r="I25" s="23"/>
      <c r="J25" s="23"/>
      <c r="K25" s="23"/>
      <c r="L25" s="23"/>
      <c r="M25" s="23"/>
      <c r="N25" s="23"/>
      <c r="O25" s="23"/>
      <c r="P25" s="23"/>
      <c r="Q25" s="23"/>
      <c r="R25" s="23"/>
      <c r="S25" s="23"/>
      <c r="T25" s="23"/>
      <c r="U25" s="23"/>
      <c r="V25" s="23"/>
      <c r="W25" s="23"/>
      <c r="X25" s="23"/>
      <c r="Y25" s="23"/>
      <c r="Z25" s="23"/>
      <c r="AA25" s="23"/>
      <c r="AB25" s="23"/>
      <c r="AC25" s="23"/>
      <c r="AD25" s="23"/>
      <c r="AE25" s="23"/>
      <c r="AF25" s="23"/>
      <c r="AG25" s="23"/>
      <c r="AH25" s="23"/>
      <c r="AI25" s="23"/>
      <c r="AJ25" s="23"/>
      <c r="AK25" s="23"/>
      <c r="AL25" s="23"/>
      <c r="AM25" s="23"/>
      <c r="AN25" s="23"/>
      <c r="AO25" s="23"/>
      <c r="AP25" s="23"/>
      <c r="AQ25" s="23"/>
      <c r="AR25" s="23"/>
      <c r="AS25" s="23"/>
      <c r="AT25" s="23"/>
      <c r="AU25" s="23"/>
      <c r="AV25" s="23"/>
      <c r="AW25" s="23"/>
      <c r="AX25" s="23"/>
      <c r="AY25" s="23"/>
      <c r="AZ25" s="23"/>
      <c r="BA25" s="23"/>
      <c r="BB25" s="23"/>
      <c r="BC25" s="23"/>
      <c r="BD25" s="23"/>
      <c r="BE25" s="23"/>
      <c r="BF25" s="23"/>
      <c r="BG25" s="23"/>
      <c r="BH25" s="23"/>
      <c r="BI25" s="23"/>
      <c r="BJ25" s="23"/>
      <c r="BK25" s="23"/>
      <c r="BL25" s="23"/>
      <c r="BM25" s="23"/>
      <c r="BN25" s="23"/>
      <c r="BO25" s="23"/>
      <c r="BP25" s="23"/>
      <c r="BQ25" s="23"/>
      <c r="BR25" s="23"/>
      <c r="BS25" s="23"/>
      <c r="BT25" s="23"/>
      <c r="BU25" s="23"/>
      <c r="BV25" s="23"/>
      <c r="BW25" s="23"/>
      <c r="BX25" s="23"/>
      <c r="BY25" s="23"/>
      <c r="BZ25" s="23"/>
      <c r="CA25" s="23"/>
      <c r="CB25" s="23"/>
      <c r="CC25" s="23"/>
      <c r="CD25" s="23"/>
      <c r="CE25" s="23"/>
      <c r="CF25" s="23"/>
      <c r="CG25" s="23"/>
      <c r="CH25" s="23"/>
      <c r="CI25" s="23"/>
      <c r="CJ25" s="23"/>
      <c r="CK25" s="23"/>
      <c r="CL25" s="23"/>
      <c r="CM25" s="23"/>
      <c r="CN25" s="23"/>
      <c r="CO25" s="23"/>
      <c r="CP25" s="23"/>
      <c r="CQ25" s="23"/>
      <c r="CR25" s="23"/>
      <c r="CS25" s="23"/>
      <c r="CT25" s="23"/>
      <c r="CU25" s="23"/>
      <c r="CV25" s="23"/>
    </row>
    <row r="26" spans="1:100" ht="12" customHeight="1" x14ac:dyDescent="0.25">
      <c r="A26" s="23"/>
      <c r="B26" s="23"/>
      <c r="C26" s="23"/>
      <c r="D26" s="23"/>
      <c r="E26" s="23"/>
      <c r="F26" s="23"/>
      <c r="G26" s="23"/>
      <c r="H26" s="23"/>
      <c r="I26" s="23"/>
      <c r="J26" s="23"/>
      <c r="K26" s="23"/>
      <c r="L26" s="23"/>
      <c r="M26" s="23"/>
      <c r="N26" s="23"/>
      <c r="O26" s="23"/>
      <c r="P26" s="23"/>
      <c r="Q26" s="23"/>
      <c r="R26" s="23"/>
      <c r="S26" s="23"/>
      <c r="T26" s="23"/>
      <c r="U26" s="23"/>
      <c r="V26" s="23"/>
      <c r="W26" s="23"/>
      <c r="X26" s="23"/>
      <c r="Y26" s="23"/>
      <c r="Z26" s="23"/>
      <c r="AA26" s="23"/>
      <c r="AB26" s="23"/>
      <c r="AC26" s="23"/>
      <c r="AD26" s="23"/>
      <c r="AE26" s="23"/>
      <c r="AF26" s="23"/>
      <c r="AG26" s="23"/>
      <c r="AH26" s="23"/>
      <c r="AI26" s="23"/>
      <c r="AJ26" s="23"/>
      <c r="AK26" s="23"/>
      <c r="AL26" s="23"/>
      <c r="AM26" s="23"/>
      <c r="AN26" s="23"/>
      <c r="AO26" s="23"/>
      <c r="AP26" s="23"/>
      <c r="AQ26" s="23"/>
      <c r="AR26" s="23"/>
      <c r="AS26" s="23"/>
      <c r="AT26" s="23"/>
      <c r="AU26" s="23"/>
      <c r="AV26" s="23"/>
      <c r="AW26" s="23"/>
      <c r="AX26" s="23"/>
      <c r="AY26" s="23"/>
      <c r="AZ26" s="23"/>
      <c r="BA26" s="23"/>
      <c r="BB26" s="23"/>
      <c r="BC26" s="23"/>
      <c r="BD26" s="23"/>
      <c r="BE26" s="23"/>
      <c r="BF26" s="23"/>
      <c r="BG26" s="23"/>
      <c r="BH26" s="23"/>
      <c r="BI26" s="23"/>
      <c r="BJ26" s="23"/>
      <c r="BK26" s="23"/>
      <c r="BL26" s="23"/>
      <c r="BM26" s="23"/>
      <c r="BN26" s="23"/>
      <c r="BO26" s="23"/>
      <c r="BP26" s="23"/>
      <c r="BQ26" s="23"/>
      <c r="BR26" s="23"/>
      <c r="BS26" s="23"/>
      <c r="BT26" s="23"/>
      <c r="BU26" s="23"/>
      <c r="BV26" s="23"/>
      <c r="BW26" s="23"/>
      <c r="BX26" s="23"/>
      <c r="BY26" s="23"/>
      <c r="BZ26" s="23"/>
      <c r="CA26" s="23"/>
      <c r="CB26" s="23"/>
      <c r="CC26" s="23"/>
      <c r="CD26" s="23"/>
      <c r="CE26" s="23"/>
      <c r="CF26" s="23"/>
      <c r="CG26" s="23"/>
      <c r="CH26" s="23"/>
      <c r="CI26" s="23"/>
      <c r="CJ26" s="23"/>
      <c r="CK26" s="23"/>
      <c r="CL26" s="23"/>
      <c r="CM26" s="23"/>
      <c r="CN26" s="23"/>
      <c r="CO26" s="23"/>
      <c r="CP26" s="23"/>
      <c r="CQ26" s="23"/>
      <c r="CR26" s="23"/>
      <c r="CS26" s="23"/>
      <c r="CT26" s="23"/>
      <c r="CU26" s="23"/>
      <c r="CV26" s="23"/>
    </row>
    <row r="27" spans="1:100" ht="12" customHeight="1" x14ac:dyDescent="0.25">
      <c r="A27" s="23"/>
      <c r="B27" s="23"/>
      <c r="C27" s="23"/>
      <c r="D27" s="23"/>
      <c r="E27" s="23"/>
      <c r="F27" s="23"/>
      <c r="G27" s="23"/>
      <c r="H27" s="23"/>
      <c r="I27" s="23"/>
      <c r="J27" s="23"/>
      <c r="K27" s="23"/>
      <c r="L27" s="23"/>
      <c r="M27" s="23"/>
      <c r="N27" s="23"/>
      <c r="O27" s="23"/>
      <c r="P27" s="23"/>
      <c r="Q27" s="23"/>
      <c r="R27" s="23"/>
      <c r="S27" s="23"/>
      <c r="T27" s="23"/>
      <c r="U27" s="23"/>
      <c r="V27" s="23"/>
      <c r="W27" s="23"/>
      <c r="X27" s="23"/>
      <c r="Y27" s="23"/>
      <c r="Z27" s="23"/>
      <c r="AA27" s="23"/>
      <c r="AB27" s="23"/>
      <c r="AC27" s="23"/>
      <c r="AD27" s="23"/>
      <c r="AE27" s="23"/>
      <c r="AF27" s="23"/>
      <c r="AG27" s="23"/>
      <c r="AH27" s="23"/>
      <c r="AI27" s="23"/>
      <c r="AJ27" s="23"/>
      <c r="AK27" s="23"/>
      <c r="AL27" s="23"/>
      <c r="AM27" s="23"/>
      <c r="AN27" s="23"/>
      <c r="AO27" s="23"/>
      <c r="AP27" s="23"/>
      <c r="AQ27" s="23"/>
      <c r="AR27" s="23"/>
      <c r="AS27" s="23"/>
      <c r="AT27" s="23"/>
      <c r="AU27" s="23"/>
      <c r="AV27" s="23"/>
      <c r="AW27" s="23"/>
      <c r="AX27" s="23"/>
      <c r="AY27" s="23"/>
      <c r="AZ27" s="23"/>
      <c r="BA27" s="23"/>
      <c r="BB27" s="23"/>
      <c r="BC27" s="23"/>
      <c r="BD27" s="23"/>
      <c r="BE27" s="23"/>
      <c r="BF27" s="23"/>
      <c r="BG27" s="23"/>
      <c r="BH27" s="23"/>
      <c r="BI27" s="23"/>
      <c r="BJ27" s="23"/>
      <c r="BK27" s="23"/>
      <c r="BL27" s="23"/>
      <c r="BM27" s="23"/>
      <c r="BN27" s="23"/>
      <c r="BO27" s="23"/>
      <c r="BP27" s="23"/>
      <c r="BQ27" s="23"/>
      <c r="BR27" s="23"/>
      <c r="BS27" s="23"/>
      <c r="BT27" s="23"/>
      <c r="BU27" s="23"/>
      <c r="BV27" s="23"/>
      <c r="BW27" s="23"/>
      <c r="BX27" s="23"/>
      <c r="BY27" s="23"/>
      <c r="BZ27" s="23"/>
      <c r="CA27" s="23"/>
      <c r="CB27" s="23"/>
      <c r="CC27" s="23"/>
      <c r="CD27" s="23"/>
      <c r="CE27" s="23"/>
      <c r="CF27" s="23"/>
      <c r="CG27" s="23"/>
      <c r="CH27" s="23"/>
      <c r="CI27" s="23"/>
      <c r="CJ27" s="23"/>
      <c r="CK27" s="23"/>
      <c r="CL27" s="23"/>
      <c r="CM27" s="23"/>
      <c r="CN27" s="23"/>
      <c r="CO27" s="23"/>
      <c r="CP27" s="23"/>
      <c r="CQ27" s="23"/>
      <c r="CR27" s="23"/>
      <c r="CS27" s="23"/>
      <c r="CT27" s="23"/>
      <c r="CU27" s="23"/>
      <c r="CV27" s="23"/>
    </row>
    <row r="28" spans="1:100" ht="12" customHeight="1" x14ac:dyDescent="0.25">
      <c r="A28" s="23"/>
      <c r="B28" s="23"/>
      <c r="C28" s="23"/>
      <c r="D28" s="23"/>
      <c r="E28" s="23"/>
      <c r="F28" s="23"/>
      <c r="G28" s="23"/>
      <c r="H28" s="23"/>
      <c r="I28" s="23"/>
      <c r="J28" s="23"/>
      <c r="K28" s="23"/>
      <c r="L28" s="23"/>
      <c r="M28" s="23"/>
      <c r="N28" s="23"/>
      <c r="O28" s="23"/>
      <c r="P28" s="23"/>
      <c r="Q28" s="23"/>
      <c r="R28" s="23"/>
      <c r="S28" s="23"/>
      <c r="T28" s="23"/>
      <c r="U28" s="23"/>
      <c r="V28" s="23"/>
      <c r="W28" s="23"/>
      <c r="X28" s="23"/>
      <c r="Y28" s="23"/>
      <c r="Z28" s="23"/>
      <c r="AA28" s="23"/>
      <c r="AB28" s="23"/>
      <c r="AC28" s="23"/>
      <c r="AD28" s="23"/>
      <c r="AE28" s="23"/>
      <c r="AF28" s="23"/>
      <c r="AG28" s="23"/>
      <c r="AH28" s="23"/>
      <c r="AI28" s="23"/>
      <c r="AJ28" s="23"/>
      <c r="AK28" s="23"/>
      <c r="AL28" s="23"/>
      <c r="AM28" s="23"/>
      <c r="AN28" s="23"/>
      <c r="AO28" s="23"/>
      <c r="AP28" s="23"/>
      <c r="AQ28" s="23"/>
      <c r="AR28" s="23"/>
      <c r="AS28" s="23"/>
      <c r="AT28" s="23"/>
      <c r="AU28" s="23"/>
      <c r="AV28" s="23"/>
      <c r="AW28" s="23"/>
      <c r="AX28" s="23"/>
      <c r="AY28" s="23"/>
      <c r="AZ28" s="23"/>
      <c r="BA28" s="23"/>
      <c r="BB28" s="23"/>
      <c r="BC28" s="23"/>
      <c r="BD28" s="23"/>
      <c r="BE28" s="23"/>
      <c r="BF28" s="23"/>
      <c r="BG28" s="23"/>
      <c r="BH28" s="23"/>
      <c r="BI28" s="23"/>
      <c r="BJ28" s="23"/>
      <c r="BK28" s="23"/>
      <c r="BL28" s="23"/>
      <c r="BM28" s="23"/>
      <c r="BN28" s="23"/>
      <c r="BO28" s="23"/>
      <c r="BP28" s="23"/>
      <c r="BQ28" s="23"/>
      <c r="BR28" s="23"/>
      <c r="BS28" s="23"/>
      <c r="BT28" s="23"/>
      <c r="BU28" s="23"/>
      <c r="BV28" s="23"/>
      <c r="BW28" s="23"/>
      <c r="BX28" s="23"/>
      <c r="BY28" s="23"/>
      <c r="BZ28" s="23"/>
      <c r="CA28" s="23"/>
      <c r="CB28" s="23"/>
      <c r="CC28" s="23"/>
      <c r="CD28" s="23"/>
      <c r="CE28" s="23"/>
      <c r="CF28" s="23"/>
      <c r="CG28" s="23"/>
      <c r="CH28" s="23"/>
      <c r="CI28" s="23"/>
      <c r="CJ28" s="23"/>
      <c r="CK28" s="23"/>
      <c r="CL28" s="23"/>
      <c r="CM28" s="23"/>
      <c r="CN28" s="23"/>
      <c r="CO28" s="23"/>
      <c r="CP28" s="23"/>
      <c r="CQ28" s="23"/>
      <c r="CR28" s="23"/>
      <c r="CS28" s="23"/>
      <c r="CT28" s="23"/>
      <c r="CU28" s="23"/>
      <c r="CV28" s="23"/>
    </row>
    <row r="29" spans="1:100" ht="12" customHeight="1" x14ac:dyDescent="0.25">
      <c r="A29" s="23"/>
      <c r="B29" s="23"/>
      <c r="C29" s="23"/>
      <c r="D29" s="23"/>
      <c r="E29" s="23"/>
      <c r="F29" s="23"/>
      <c r="G29" s="23"/>
      <c r="H29" s="23"/>
      <c r="I29" s="23"/>
      <c r="J29" s="23"/>
      <c r="K29" s="23"/>
      <c r="L29" s="23"/>
      <c r="M29" s="23"/>
      <c r="N29" s="23"/>
      <c r="O29" s="23"/>
      <c r="P29" s="23"/>
      <c r="Q29" s="23"/>
      <c r="R29" s="23"/>
      <c r="S29" s="23"/>
      <c r="T29" s="23"/>
      <c r="U29" s="23"/>
      <c r="V29" s="23"/>
      <c r="W29" s="23"/>
      <c r="X29" s="23"/>
      <c r="Y29" s="23"/>
      <c r="Z29" s="23"/>
      <c r="AA29" s="23"/>
      <c r="AB29" s="23"/>
      <c r="AC29" s="23"/>
      <c r="AD29" s="23"/>
      <c r="AE29" s="23"/>
      <c r="AF29" s="23"/>
      <c r="AG29" s="23"/>
      <c r="AH29" s="23"/>
      <c r="AI29" s="23"/>
      <c r="AJ29" s="23"/>
      <c r="AK29" s="23"/>
      <c r="AL29" s="23"/>
      <c r="AM29" s="23"/>
      <c r="AN29" s="23"/>
      <c r="AO29" s="23"/>
      <c r="AP29" s="23"/>
      <c r="AQ29" s="23"/>
      <c r="AR29" s="23"/>
      <c r="AS29" s="23"/>
      <c r="AT29" s="23"/>
      <c r="AU29" s="23"/>
      <c r="AV29" s="23"/>
      <c r="AW29" s="23"/>
      <c r="AX29" s="23"/>
      <c r="AY29" s="23"/>
      <c r="AZ29" s="23"/>
      <c r="BA29" s="23"/>
      <c r="BB29" s="23"/>
      <c r="BC29" s="23"/>
      <c r="BD29" s="23"/>
      <c r="BE29" s="23"/>
      <c r="BF29" s="23"/>
      <c r="BG29" s="23"/>
      <c r="BH29" s="23"/>
      <c r="BI29" s="23"/>
      <c r="BJ29" s="23"/>
      <c r="BK29" s="23"/>
      <c r="BL29" s="23"/>
      <c r="BM29" s="23"/>
      <c r="BN29" s="23"/>
      <c r="BO29" s="23"/>
      <c r="BP29" s="23"/>
      <c r="BQ29" s="23"/>
      <c r="BR29" s="23"/>
      <c r="BS29" s="23"/>
      <c r="BT29" s="23"/>
      <c r="BU29" s="23"/>
      <c r="BV29" s="23"/>
      <c r="BW29" s="23"/>
      <c r="BX29" s="23"/>
      <c r="BY29" s="23"/>
      <c r="BZ29" s="23"/>
      <c r="CA29" s="23"/>
      <c r="CB29" s="23"/>
      <c r="CC29" s="23"/>
      <c r="CD29" s="23"/>
      <c r="CE29" s="23"/>
      <c r="CF29" s="23"/>
      <c r="CG29" s="23"/>
      <c r="CH29" s="23"/>
      <c r="CI29" s="23"/>
      <c r="CJ29" s="23"/>
      <c r="CK29" s="23"/>
      <c r="CL29" s="23"/>
      <c r="CM29" s="23"/>
      <c r="CN29" s="23"/>
      <c r="CO29" s="23"/>
      <c r="CP29" s="23"/>
      <c r="CQ29" s="23"/>
      <c r="CR29" s="23"/>
      <c r="CS29" s="23"/>
      <c r="CT29" s="23"/>
      <c r="CU29" s="23"/>
      <c r="CV29" s="23"/>
    </row>
    <row r="30" spans="1:100" ht="12" customHeight="1" x14ac:dyDescent="0.25">
      <c r="A30" s="23"/>
      <c r="B30" s="23"/>
      <c r="C30" s="23"/>
      <c r="D30" s="23"/>
      <c r="E30" s="23"/>
      <c r="F30" s="23"/>
      <c r="G30" s="23"/>
      <c r="H30" s="23"/>
      <c r="I30" s="23"/>
      <c r="J30" s="23"/>
      <c r="K30" s="23"/>
      <c r="L30" s="23"/>
      <c r="M30" s="23"/>
      <c r="N30" s="23"/>
      <c r="O30" s="23"/>
      <c r="P30" s="23"/>
      <c r="Q30" s="23"/>
      <c r="R30" s="23"/>
      <c r="S30" s="23"/>
      <c r="T30" s="23"/>
      <c r="U30" s="23"/>
      <c r="V30" s="23"/>
      <c r="W30" s="23"/>
      <c r="X30" s="23"/>
      <c r="Y30" s="23"/>
      <c r="Z30" s="23"/>
      <c r="AA30" s="23"/>
      <c r="AB30" s="23"/>
      <c r="AC30" s="23"/>
      <c r="AD30" s="23"/>
      <c r="AE30" s="23"/>
      <c r="AF30" s="23"/>
      <c r="AG30" s="23"/>
      <c r="AH30" s="23"/>
      <c r="AI30" s="23"/>
      <c r="AJ30" s="23"/>
      <c r="AK30" s="23"/>
      <c r="AL30" s="23"/>
      <c r="AM30" s="23"/>
      <c r="AN30" s="23"/>
      <c r="AO30" s="23"/>
      <c r="AP30" s="23"/>
      <c r="AQ30" s="23"/>
      <c r="AR30" s="23"/>
      <c r="AS30" s="23"/>
      <c r="AT30" s="23"/>
      <c r="AU30" s="23"/>
      <c r="AV30" s="23"/>
      <c r="AW30" s="23"/>
      <c r="AX30" s="23"/>
      <c r="AY30" s="23"/>
      <c r="AZ30" s="23"/>
      <c r="BA30" s="23"/>
      <c r="BB30" s="23"/>
      <c r="BC30" s="23"/>
      <c r="BD30" s="23"/>
      <c r="BE30" s="23"/>
      <c r="BF30" s="23"/>
      <c r="BG30" s="23"/>
      <c r="BH30" s="23"/>
      <c r="BI30" s="23"/>
      <c r="BJ30" s="23"/>
      <c r="BK30" s="23"/>
      <c r="BL30" s="23"/>
      <c r="BM30" s="23"/>
      <c r="BN30" s="23"/>
      <c r="BO30" s="23"/>
      <c r="BP30" s="23"/>
      <c r="BQ30" s="23"/>
      <c r="BR30" s="23"/>
      <c r="BS30" s="23"/>
      <c r="BT30" s="23"/>
      <c r="BU30" s="23"/>
      <c r="BV30" s="23"/>
      <c r="BW30" s="23"/>
      <c r="BX30" s="23"/>
      <c r="BY30" s="23"/>
      <c r="BZ30" s="23"/>
      <c r="CA30" s="23"/>
      <c r="CB30" s="23"/>
      <c r="CC30" s="23"/>
      <c r="CD30" s="23"/>
      <c r="CE30" s="23"/>
      <c r="CF30" s="23"/>
      <c r="CG30" s="23"/>
      <c r="CH30" s="23"/>
      <c r="CI30" s="23"/>
      <c r="CJ30" s="23"/>
      <c r="CK30" s="23"/>
      <c r="CL30" s="23"/>
      <c r="CM30" s="23"/>
      <c r="CN30" s="23"/>
      <c r="CO30" s="23"/>
      <c r="CP30" s="23"/>
      <c r="CQ30" s="23"/>
      <c r="CR30" s="23"/>
      <c r="CS30" s="23"/>
      <c r="CT30" s="23"/>
      <c r="CU30" s="23"/>
      <c r="CV30" s="23"/>
    </row>
    <row r="31" spans="1:100" ht="12" customHeight="1" x14ac:dyDescent="0.25"/>
    <row r="32" spans="1:100" ht="12" customHeight="1" x14ac:dyDescent="0.25"/>
    <row r="33" ht="12" customHeight="1" x14ac:dyDescent="0.25"/>
    <row r="34" ht="12" customHeight="1" x14ac:dyDescent="0.25"/>
    <row r="35" ht="12" customHeight="1" x14ac:dyDescent="0.25"/>
    <row r="36" ht="12" customHeight="1" x14ac:dyDescent="0.25"/>
    <row r="37" ht="12" customHeight="1" x14ac:dyDescent="0.25"/>
    <row r="38" ht="12" customHeight="1" x14ac:dyDescent="0.25"/>
    <row r="39" ht="12" customHeight="1" x14ac:dyDescent="0.25"/>
    <row r="40" ht="12" customHeight="1" x14ac:dyDescent="0.25"/>
    <row r="41" ht="12" customHeight="1" x14ac:dyDescent="0.25"/>
    <row r="42" ht="12" customHeight="1" x14ac:dyDescent="0.25"/>
    <row r="43" ht="12" customHeight="1" x14ac:dyDescent="0.25"/>
    <row r="44" ht="12" customHeight="1" x14ac:dyDescent="0.25"/>
    <row r="45" ht="12" customHeight="1" x14ac:dyDescent="0.25"/>
    <row r="46" ht="12" customHeight="1" x14ac:dyDescent="0.25"/>
    <row r="47" ht="12" customHeight="1" x14ac:dyDescent="0.25"/>
    <row r="48" ht="12" customHeight="1" x14ac:dyDescent="0.25"/>
    <row r="49" ht="12" customHeight="1" x14ac:dyDescent="0.25"/>
    <row r="50" ht="12" customHeight="1" x14ac:dyDescent="0.25"/>
    <row r="51" ht="12" customHeight="1" x14ac:dyDescent="0.25"/>
    <row r="52" ht="12" customHeight="1" x14ac:dyDescent="0.25"/>
    <row r="53" ht="12" customHeight="1" x14ac:dyDescent="0.25"/>
    <row r="54" ht="12" customHeight="1" x14ac:dyDescent="0.25"/>
    <row r="55" ht="12" customHeight="1" x14ac:dyDescent="0.25"/>
    <row r="56" ht="12" customHeight="1" x14ac:dyDescent="0.25"/>
    <row r="57" ht="12" customHeight="1" x14ac:dyDescent="0.25"/>
    <row r="58" ht="12" customHeight="1" x14ac:dyDescent="0.25"/>
    <row r="59" ht="12" customHeight="1" x14ac:dyDescent="0.25"/>
    <row r="60" ht="12" customHeight="1" x14ac:dyDescent="0.25"/>
    <row r="61" ht="12" customHeight="1" x14ac:dyDescent="0.25"/>
    <row r="62" ht="12" customHeight="1" x14ac:dyDescent="0.25"/>
    <row r="63" ht="12" customHeight="1" x14ac:dyDescent="0.25"/>
    <row r="64" ht="12" customHeight="1" x14ac:dyDescent="0.25"/>
    <row r="65" ht="12" customHeight="1" x14ac:dyDescent="0.25"/>
    <row r="66" ht="12" customHeight="1" x14ac:dyDescent="0.25"/>
    <row r="67" ht="12" customHeight="1" x14ac:dyDescent="0.25"/>
    <row r="68" ht="12" customHeight="1" x14ac:dyDescent="0.25"/>
    <row r="69" ht="12" customHeight="1" x14ac:dyDescent="0.25"/>
    <row r="70" ht="12" customHeight="1" x14ac:dyDescent="0.25"/>
    <row r="71" ht="12" customHeight="1" x14ac:dyDescent="0.25"/>
    <row r="72" ht="12" customHeight="1" x14ac:dyDescent="0.25"/>
    <row r="73" ht="12" customHeight="1" x14ac:dyDescent="0.25"/>
    <row r="74" ht="12" customHeight="1" x14ac:dyDescent="0.25"/>
    <row r="75" ht="12" customHeight="1" x14ac:dyDescent="0.25"/>
    <row r="76" ht="12" customHeight="1" x14ac:dyDescent="0.25"/>
    <row r="77" ht="12" customHeight="1" x14ac:dyDescent="0.25"/>
    <row r="78" ht="12" customHeight="1" x14ac:dyDescent="0.25"/>
    <row r="79" ht="12" customHeight="1" x14ac:dyDescent="0.25"/>
    <row r="80" ht="12" customHeight="1" x14ac:dyDescent="0.25"/>
    <row r="81" ht="12" customHeight="1" x14ac:dyDescent="0.25"/>
    <row r="82" ht="12" customHeight="1" x14ac:dyDescent="0.25"/>
    <row r="83" ht="12" customHeight="1" x14ac:dyDescent="0.25"/>
    <row r="84" ht="12" customHeight="1" x14ac:dyDescent="0.25"/>
    <row r="85" ht="12" customHeight="1" x14ac:dyDescent="0.25"/>
    <row r="86" ht="12" customHeight="1" x14ac:dyDescent="0.25"/>
    <row r="87" ht="12" customHeight="1" x14ac:dyDescent="0.25"/>
    <row r="88" ht="12" customHeight="1" x14ac:dyDescent="0.25"/>
    <row r="89" ht="12" customHeight="1" x14ac:dyDescent="0.25"/>
    <row r="90" ht="12" customHeight="1" x14ac:dyDescent="0.25"/>
    <row r="91" ht="12" customHeight="1" x14ac:dyDescent="0.25"/>
    <row r="92" ht="12" customHeight="1" x14ac:dyDescent="0.25"/>
    <row r="93" ht="12" customHeight="1" x14ac:dyDescent="0.25"/>
    <row r="94" ht="12" customHeight="1" x14ac:dyDescent="0.25"/>
    <row r="95" ht="12" customHeight="1" x14ac:dyDescent="0.25"/>
    <row r="96" ht="12" customHeight="1" x14ac:dyDescent="0.25"/>
    <row r="97" ht="12" customHeight="1" x14ac:dyDescent="0.25"/>
    <row r="98" ht="12" customHeight="1" x14ac:dyDescent="0.25"/>
    <row r="99" ht="12" customHeight="1" x14ac:dyDescent="0.25"/>
    <row r="100" ht="12" customHeight="1" x14ac:dyDescent="0.25"/>
    <row r="101" ht="12" customHeight="1" x14ac:dyDescent="0.25"/>
    <row r="102" ht="12" customHeight="1" x14ac:dyDescent="0.25"/>
    <row r="103" ht="12" customHeight="1" x14ac:dyDescent="0.25"/>
    <row r="104" ht="12" customHeight="1" x14ac:dyDescent="0.25"/>
    <row r="105" ht="12" customHeight="1" x14ac:dyDescent="0.25"/>
    <row r="106" ht="12" customHeight="1" x14ac:dyDescent="0.25"/>
    <row r="107" ht="12" customHeight="1" x14ac:dyDescent="0.25"/>
    <row r="108" ht="12" customHeight="1" x14ac:dyDescent="0.25"/>
    <row r="109" ht="12" customHeight="1" x14ac:dyDescent="0.25"/>
    <row r="110" ht="12" customHeight="1" x14ac:dyDescent="0.25"/>
    <row r="111" ht="12" customHeight="1" x14ac:dyDescent="0.25"/>
    <row r="112" ht="12" customHeight="1" x14ac:dyDescent="0.25"/>
    <row r="113" ht="12" customHeight="1" x14ac:dyDescent="0.25"/>
    <row r="114" ht="12" customHeight="1" x14ac:dyDescent="0.25"/>
    <row r="115" ht="12" customHeight="1" x14ac:dyDescent="0.25"/>
    <row r="116" ht="12" customHeight="1" x14ac:dyDescent="0.25"/>
    <row r="117" ht="12" customHeight="1" x14ac:dyDescent="0.25"/>
    <row r="118" ht="12" customHeight="1" x14ac:dyDescent="0.25"/>
    <row r="119" ht="12" customHeight="1" x14ac:dyDescent="0.25"/>
    <row r="120" ht="12" customHeight="1" x14ac:dyDescent="0.25"/>
    <row r="121" ht="12" customHeight="1" x14ac:dyDescent="0.25"/>
    <row r="122" ht="12" customHeight="1" x14ac:dyDescent="0.25"/>
    <row r="123" ht="12" customHeight="1" x14ac:dyDescent="0.25"/>
    <row r="124" ht="12" customHeight="1" x14ac:dyDescent="0.25"/>
    <row r="125" ht="12" customHeight="1" x14ac:dyDescent="0.25"/>
    <row r="126" ht="12" customHeight="1" x14ac:dyDescent="0.25"/>
    <row r="127" ht="12" customHeight="1" x14ac:dyDescent="0.25"/>
    <row r="128" ht="12" customHeight="1" x14ac:dyDescent="0.25"/>
    <row r="129" ht="12" customHeight="1" x14ac:dyDescent="0.25"/>
    <row r="130" ht="12" customHeight="1" x14ac:dyDescent="0.25"/>
    <row r="131" ht="12" customHeight="1" x14ac:dyDescent="0.25"/>
    <row r="132" ht="12" customHeight="1" x14ac:dyDescent="0.25"/>
    <row r="133" ht="12" customHeight="1" x14ac:dyDescent="0.25"/>
    <row r="134" ht="12" customHeight="1" x14ac:dyDescent="0.25"/>
    <row r="135" ht="12" customHeight="1" x14ac:dyDescent="0.25"/>
    <row r="136" ht="12" customHeight="1" x14ac:dyDescent="0.25"/>
    <row r="137" ht="12" customHeight="1" x14ac:dyDescent="0.25"/>
    <row r="138" ht="12" customHeight="1" x14ac:dyDescent="0.25"/>
    <row r="139" ht="12" customHeight="1" x14ac:dyDescent="0.25"/>
    <row r="140" ht="12" customHeight="1" x14ac:dyDescent="0.25"/>
    <row r="141" ht="12" customHeight="1" x14ac:dyDescent="0.25"/>
    <row r="142" ht="12" customHeight="1" x14ac:dyDescent="0.25"/>
    <row r="143" ht="12" customHeight="1" x14ac:dyDescent="0.25"/>
    <row r="144" ht="12" customHeight="1" x14ac:dyDescent="0.25"/>
    <row r="145" ht="12" customHeight="1" x14ac:dyDescent="0.25"/>
    <row r="146" ht="12" customHeight="1" x14ac:dyDescent="0.25"/>
    <row r="147" ht="12" customHeight="1" x14ac:dyDescent="0.25"/>
    <row r="148" ht="12" customHeight="1" x14ac:dyDescent="0.25"/>
    <row r="149" ht="12" customHeight="1" x14ac:dyDescent="0.25"/>
    <row r="150" ht="12" customHeight="1" x14ac:dyDescent="0.25"/>
    <row r="151" ht="12" customHeight="1" x14ac:dyDescent="0.25"/>
    <row r="152" ht="12" customHeight="1" x14ac:dyDescent="0.25"/>
    <row r="153" ht="12" customHeight="1" x14ac:dyDescent="0.25"/>
    <row r="154" ht="12" customHeight="1" x14ac:dyDescent="0.25"/>
    <row r="155" ht="12" customHeight="1" x14ac:dyDescent="0.25"/>
    <row r="156" ht="12" customHeight="1" x14ac:dyDescent="0.25"/>
    <row r="157" ht="12" customHeight="1" x14ac:dyDescent="0.25"/>
    <row r="158" ht="12" customHeight="1" x14ac:dyDescent="0.25"/>
    <row r="159" ht="12" customHeight="1" x14ac:dyDescent="0.25"/>
    <row r="160" ht="12" customHeight="1" x14ac:dyDescent="0.25"/>
    <row r="161" ht="12" customHeight="1" x14ac:dyDescent="0.25"/>
    <row r="162" ht="12" customHeight="1" x14ac:dyDescent="0.25"/>
    <row r="163" ht="12" customHeight="1" x14ac:dyDescent="0.25"/>
    <row r="164" ht="12" customHeight="1" x14ac:dyDescent="0.25"/>
    <row r="165" ht="12" customHeight="1" x14ac:dyDescent="0.25"/>
    <row r="166" ht="12" customHeight="1" x14ac:dyDescent="0.25"/>
    <row r="167" ht="12" customHeight="1" x14ac:dyDescent="0.25"/>
    <row r="168" ht="12" customHeight="1" x14ac:dyDescent="0.25"/>
    <row r="169" ht="12" customHeight="1" x14ac:dyDescent="0.25"/>
    <row r="170" ht="12" customHeight="1" x14ac:dyDescent="0.25"/>
    <row r="171" ht="12" customHeight="1" x14ac:dyDescent="0.25"/>
    <row r="172" ht="12" customHeight="1" x14ac:dyDescent="0.25"/>
    <row r="173" ht="12" customHeight="1" x14ac:dyDescent="0.25"/>
    <row r="174" ht="12" customHeight="1" x14ac:dyDescent="0.25"/>
    <row r="175" ht="12" customHeight="1" x14ac:dyDescent="0.25"/>
    <row r="176" ht="12" customHeight="1" x14ac:dyDescent="0.25"/>
    <row r="177" ht="12" customHeight="1" x14ac:dyDescent="0.25"/>
    <row r="178" ht="12" customHeight="1" x14ac:dyDescent="0.25"/>
    <row r="179" ht="12" customHeight="1" x14ac:dyDescent="0.25"/>
    <row r="180" ht="12" customHeight="1" x14ac:dyDescent="0.25"/>
    <row r="181" ht="12" customHeight="1" x14ac:dyDescent="0.25"/>
    <row r="182" ht="12" customHeight="1" x14ac:dyDescent="0.25"/>
    <row r="183" ht="12" customHeight="1" x14ac:dyDescent="0.25"/>
    <row r="184" ht="12" customHeight="1" x14ac:dyDescent="0.25"/>
    <row r="185" ht="12" customHeight="1" x14ac:dyDescent="0.25"/>
    <row r="186" ht="12" customHeight="1" x14ac:dyDescent="0.25"/>
    <row r="187" ht="12" customHeight="1" x14ac:dyDescent="0.25"/>
    <row r="188" ht="12" customHeight="1" x14ac:dyDescent="0.25"/>
    <row r="189" ht="12" customHeight="1" x14ac:dyDescent="0.25"/>
    <row r="190" ht="12" customHeight="1" x14ac:dyDescent="0.25"/>
    <row r="191" ht="12" customHeight="1" x14ac:dyDescent="0.25"/>
    <row r="192" ht="12" customHeight="1" x14ac:dyDescent="0.25"/>
    <row r="193" ht="12" customHeight="1" x14ac:dyDescent="0.25"/>
    <row r="194" ht="12" customHeight="1" x14ac:dyDescent="0.25"/>
    <row r="195" ht="12" customHeight="1" x14ac:dyDescent="0.25"/>
    <row r="196" ht="12" customHeight="1" x14ac:dyDescent="0.25"/>
    <row r="197" ht="12" customHeight="1" x14ac:dyDescent="0.25"/>
    <row r="198" ht="12" customHeight="1" x14ac:dyDescent="0.25"/>
    <row r="199" ht="12" customHeight="1" x14ac:dyDescent="0.25"/>
    <row r="200" ht="12" customHeight="1" x14ac:dyDescent="0.25"/>
    <row r="201" ht="12" customHeight="1" x14ac:dyDescent="0.25"/>
    <row r="202" ht="12" customHeight="1" x14ac:dyDescent="0.25"/>
    <row r="203" ht="12" customHeight="1" x14ac:dyDescent="0.25"/>
    <row r="204" ht="12" customHeight="1" x14ac:dyDescent="0.25"/>
    <row r="205" ht="12" customHeight="1" x14ac:dyDescent="0.25"/>
    <row r="206" ht="12" customHeight="1" x14ac:dyDescent="0.25"/>
    <row r="207" ht="12" customHeight="1" x14ac:dyDescent="0.25"/>
    <row r="208" ht="12" customHeight="1" x14ac:dyDescent="0.25"/>
    <row r="209" ht="12" customHeight="1" x14ac:dyDescent="0.25"/>
    <row r="210" ht="12" customHeight="1" x14ac:dyDescent="0.25"/>
    <row r="211" ht="12" customHeight="1" x14ac:dyDescent="0.25"/>
    <row r="212" ht="12" customHeight="1" x14ac:dyDescent="0.25"/>
    <row r="213" ht="12" customHeight="1" x14ac:dyDescent="0.25"/>
    <row r="214" ht="12" customHeight="1" x14ac:dyDescent="0.25"/>
    <row r="215" ht="12" customHeight="1" x14ac:dyDescent="0.25"/>
    <row r="216" ht="12" customHeight="1" x14ac:dyDescent="0.25"/>
    <row r="217" ht="12" customHeight="1" x14ac:dyDescent="0.25"/>
    <row r="218" ht="12" customHeight="1" x14ac:dyDescent="0.25"/>
    <row r="219" ht="12" customHeight="1" x14ac:dyDescent="0.25"/>
    <row r="220" ht="12" customHeight="1" x14ac:dyDescent="0.25"/>
    <row r="221" ht="12" customHeight="1" x14ac:dyDescent="0.25"/>
    <row r="222" ht="12" customHeight="1" x14ac:dyDescent="0.25"/>
    <row r="223" ht="12" customHeight="1" x14ac:dyDescent="0.25"/>
    <row r="224" ht="12" customHeight="1" x14ac:dyDescent="0.25"/>
    <row r="225" ht="12" customHeight="1" x14ac:dyDescent="0.25"/>
    <row r="226" ht="12" customHeight="1" x14ac:dyDescent="0.25"/>
    <row r="227" ht="12" customHeight="1" x14ac:dyDescent="0.25"/>
    <row r="228" ht="12" customHeight="1" x14ac:dyDescent="0.25"/>
    <row r="229" ht="12" customHeight="1" x14ac:dyDescent="0.25"/>
    <row r="230" ht="12" customHeight="1" x14ac:dyDescent="0.25"/>
    <row r="231" ht="12" customHeight="1" x14ac:dyDescent="0.25"/>
    <row r="232" ht="12" customHeight="1" x14ac:dyDescent="0.25"/>
    <row r="233" ht="12" customHeight="1" x14ac:dyDescent="0.25"/>
    <row r="234" ht="12" customHeight="1" x14ac:dyDescent="0.25"/>
    <row r="235" ht="12" customHeight="1" x14ac:dyDescent="0.25"/>
    <row r="236" ht="12" customHeight="1" x14ac:dyDescent="0.25"/>
    <row r="237" ht="12" customHeight="1" x14ac:dyDescent="0.25"/>
    <row r="238" ht="12" customHeight="1" x14ac:dyDescent="0.25"/>
    <row r="239" ht="12" customHeight="1" x14ac:dyDescent="0.25"/>
    <row r="240" ht="12" customHeight="1" x14ac:dyDescent="0.25"/>
    <row r="241" ht="12" customHeight="1" x14ac:dyDescent="0.25"/>
    <row r="242" ht="12" customHeight="1" x14ac:dyDescent="0.25"/>
    <row r="243" ht="12" customHeight="1" x14ac:dyDescent="0.25"/>
    <row r="244" ht="12" customHeight="1" x14ac:dyDescent="0.25"/>
    <row r="245" ht="12" customHeight="1" x14ac:dyDescent="0.25"/>
    <row r="246" ht="12" customHeight="1" x14ac:dyDescent="0.25"/>
    <row r="247" ht="12" customHeight="1" x14ac:dyDescent="0.25"/>
    <row r="248" ht="12" customHeight="1" x14ac:dyDescent="0.25"/>
    <row r="249" ht="12" customHeight="1" x14ac:dyDescent="0.25"/>
    <row r="250" ht="12" customHeight="1" x14ac:dyDescent="0.25"/>
    <row r="251" ht="12" customHeight="1" x14ac:dyDescent="0.25"/>
    <row r="252" ht="12" customHeight="1" x14ac:dyDescent="0.25"/>
    <row r="253" ht="12" customHeight="1" x14ac:dyDescent="0.25"/>
    <row r="254" ht="12" customHeight="1" x14ac:dyDescent="0.25"/>
    <row r="255" ht="12" customHeight="1" x14ac:dyDescent="0.25"/>
    <row r="256" ht="12" customHeight="1" x14ac:dyDescent="0.25"/>
    <row r="257" ht="12" customHeight="1" x14ac:dyDescent="0.25"/>
    <row r="258" ht="12" customHeight="1" x14ac:dyDescent="0.25"/>
    <row r="259" ht="12" customHeight="1" x14ac:dyDescent="0.25"/>
    <row r="260" ht="12" customHeight="1" x14ac:dyDescent="0.25"/>
    <row r="261" ht="12" customHeight="1" x14ac:dyDescent="0.25"/>
    <row r="262" ht="12" customHeight="1" x14ac:dyDescent="0.25"/>
    <row r="263" ht="12" customHeight="1" x14ac:dyDescent="0.25"/>
    <row r="264" ht="12" customHeight="1" x14ac:dyDescent="0.25"/>
    <row r="265" ht="12" customHeight="1" x14ac:dyDescent="0.25"/>
    <row r="266" ht="12" customHeight="1" x14ac:dyDescent="0.25"/>
    <row r="267" ht="12" customHeight="1" x14ac:dyDescent="0.25"/>
    <row r="268" ht="12" customHeight="1" x14ac:dyDescent="0.25"/>
    <row r="269" ht="12" customHeight="1" x14ac:dyDescent="0.25"/>
    <row r="270" ht="12" customHeight="1" x14ac:dyDescent="0.25"/>
    <row r="271" ht="12" customHeight="1" x14ac:dyDescent="0.25"/>
    <row r="272" ht="12" customHeight="1" x14ac:dyDescent="0.25"/>
    <row r="273" ht="12" customHeight="1" x14ac:dyDescent="0.25"/>
    <row r="274" ht="12" customHeight="1" x14ac:dyDescent="0.25"/>
    <row r="275" ht="12" customHeight="1" x14ac:dyDescent="0.25"/>
    <row r="276" ht="12" customHeight="1" x14ac:dyDescent="0.25"/>
    <row r="277" ht="12" customHeight="1" x14ac:dyDescent="0.25"/>
    <row r="278" ht="12" customHeight="1" x14ac:dyDescent="0.25"/>
    <row r="279" ht="12" customHeight="1" x14ac:dyDescent="0.25"/>
    <row r="280" ht="12" customHeight="1" x14ac:dyDescent="0.25"/>
    <row r="281" ht="12" customHeight="1" x14ac:dyDescent="0.25"/>
    <row r="282" ht="12" customHeight="1" x14ac:dyDescent="0.25"/>
    <row r="283" ht="12" customHeight="1" x14ac:dyDescent="0.25"/>
    <row r="284" ht="12" customHeight="1" x14ac:dyDescent="0.25"/>
    <row r="285" ht="12" customHeight="1" x14ac:dyDescent="0.25"/>
    <row r="286" ht="12" customHeight="1" x14ac:dyDescent="0.25"/>
    <row r="287" ht="12" customHeight="1" x14ac:dyDescent="0.25"/>
    <row r="288" ht="12" customHeight="1" x14ac:dyDescent="0.25"/>
    <row r="289" ht="12" customHeight="1" x14ac:dyDescent="0.25"/>
    <row r="290" ht="12" customHeight="1" x14ac:dyDescent="0.25"/>
    <row r="291" ht="12" customHeight="1" x14ac:dyDescent="0.25"/>
    <row r="292" ht="12" customHeight="1" x14ac:dyDescent="0.25"/>
    <row r="293" ht="12" customHeight="1" x14ac:dyDescent="0.25"/>
    <row r="294" ht="12" customHeight="1" x14ac:dyDescent="0.25"/>
    <row r="295" ht="12" customHeight="1" x14ac:dyDescent="0.25"/>
    <row r="296" ht="12" customHeight="1" x14ac:dyDescent="0.25"/>
    <row r="297" ht="12" customHeight="1" x14ac:dyDescent="0.25"/>
    <row r="298" ht="12" customHeight="1" x14ac:dyDescent="0.25"/>
    <row r="299" ht="12" customHeight="1" x14ac:dyDescent="0.25"/>
    <row r="300" ht="12" customHeight="1" x14ac:dyDescent="0.25"/>
    <row r="301" ht="12" customHeight="1" x14ac:dyDescent="0.25"/>
    <row r="302" ht="12" customHeight="1" x14ac:dyDescent="0.25"/>
    <row r="303" ht="12" customHeight="1" x14ac:dyDescent="0.25"/>
    <row r="304" ht="12" customHeight="1" x14ac:dyDescent="0.25"/>
    <row r="305" ht="12" customHeight="1" x14ac:dyDescent="0.25"/>
    <row r="306" ht="12" customHeight="1" x14ac:dyDescent="0.25"/>
    <row r="307" ht="12" customHeight="1" x14ac:dyDescent="0.25"/>
    <row r="308" ht="12" customHeight="1" x14ac:dyDescent="0.25"/>
    <row r="309" ht="12" customHeight="1" x14ac:dyDescent="0.25"/>
    <row r="310" ht="12" customHeight="1" x14ac:dyDescent="0.25"/>
    <row r="311" ht="12" customHeight="1" x14ac:dyDescent="0.25"/>
    <row r="312" ht="12" customHeight="1" x14ac:dyDescent="0.25"/>
    <row r="313" ht="12" customHeight="1" x14ac:dyDescent="0.25"/>
    <row r="314" ht="12" customHeight="1" x14ac:dyDescent="0.25"/>
    <row r="315" ht="12" customHeight="1" x14ac:dyDescent="0.25"/>
    <row r="316" ht="12" customHeight="1" x14ac:dyDescent="0.25"/>
    <row r="317" ht="12" customHeight="1" x14ac:dyDescent="0.25"/>
    <row r="318" ht="12" customHeight="1" x14ac:dyDescent="0.25"/>
    <row r="319" ht="12" customHeight="1" x14ac:dyDescent="0.25"/>
    <row r="320" ht="12" customHeight="1" x14ac:dyDescent="0.25"/>
    <row r="321" ht="12" customHeight="1" x14ac:dyDescent="0.25"/>
    <row r="322" ht="12" customHeight="1" x14ac:dyDescent="0.25"/>
    <row r="323" ht="12" customHeight="1" x14ac:dyDescent="0.25"/>
    <row r="324" ht="12" customHeight="1" x14ac:dyDescent="0.25"/>
    <row r="325" ht="12" customHeight="1" x14ac:dyDescent="0.25"/>
    <row r="326" ht="12" customHeight="1" x14ac:dyDescent="0.25"/>
    <row r="327" ht="12" customHeight="1" x14ac:dyDescent="0.25"/>
    <row r="328" ht="12" customHeight="1" x14ac:dyDescent="0.25"/>
    <row r="329" ht="12" customHeight="1" x14ac:dyDescent="0.25"/>
    <row r="330" ht="12" customHeight="1" x14ac:dyDescent="0.25"/>
    <row r="331" ht="12" customHeight="1" x14ac:dyDescent="0.25"/>
    <row r="332" ht="12" customHeight="1" x14ac:dyDescent="0.25"/>
    <row r="333" ht="12" customHeight="1" x14ac:dyDescent="0.25"/>
    <row r="334" ht="12" customHeight="1" x14ac:dyDescent="0.25"/>
    <row r="335" ht="12" customHeight="1" x14ac:dyDescent="0.25"/>
    <row r="336" ht="12" customHeight="1" x14ac:dyDescent="0.25"/>
    <row r="337" ht="12" customHeight="1" x14ac:dyDescent="0.25"/>
    <row r="338" ht="12" customHeight="1" x14ac:dyDescent="0.25"/>
    <row r="339" ht="12" customHeight="1" x14ac:dyDescent="0.25"/>
    <row r="340" ht="12" customHeight="1" x14ac:dyDescent="0.25"/>
    <row r="341" ht="12" customHeight="1" x14ac:dyDescent="0.25"/>
    <row r="342" ht="12" customHeight="1" x14ac:dyDescent="0.25"/>
    <row r="343" ht="12" customHeight="1" x14ac:dyDescent="0.25"/>
    <row r="344" ht="12" customHeight="1" x14ac:dyDescent="0.25"/>
    <row r="345" ht="12" customHeight="1" x14ac:dyDescent="0.25"/>
    <row r="346" ht="12" customHeight="1" x14ac:dyDescent="0.25"/>
    <row r="347" ht="12" customHeight="1" x14ac:dyDescent="0.25"/>
    <row r="348" ht="12" customHeight="1" x14ac:dyDescent="0.25"/>
    <row r="349" ht="12" customHeight="1" x14ac:dyDescent="0.25"/>
    <row r="350" ht="12" customHeight="1" x14ac:dyDescent="0.25"/>
    <row r="351" ht="12" customHeight="1" x14ac:dyDescent="0.25"/>
    <row r="352" ht="12" customHeight="1" x14ac:dyDescent="0.25"/>
    <row r="353" ht="12" customHeight="1" x14ac:dyDescent="0.25"/>
    <row r="354" ht="12" customHeight="1" x14ac:dyDescent="0.25"/>
    <row r="355" ht="12" customHeight="1" x14ac:dyDescent="0.25"/>
    <row r="356" ht="12" customHeight="1" x14ac:dyDescent="0.25"/>
    <row r="357" ht="12" customHeight="1" x14ac:dyDescent="0.25"/>
    <row r="358" ht="12" customHeight="1" x14ac:dyDescent="0.25"/>
    <row r="359" ht="12" customHeight="1" x14ac:dyDescent="0.25"/>
    <row r="360" ht="12" customHeight="1" x14ac:dyDescent="0.25"/>
    <row r="361" ht="12" customHeight="1" x14ac:dyDescent="0.25"/>
    <row r="362" ht="12" customHeight="1" x14ac:dyDescent="0.25"/>
    <row r="363" ht="12" customHeight="1" x14ac:dyDescent="0.25"/>
    <row r="364" ht="12" customHeight="1" x14ac:dyDescent="0.25"/>
    <row r="365" ht="12" customHeight="1" x14ac:dyDescent="0.25"/>
    <row r="366" ht="12" customHeight="1" x14ac:dyDescent="0.25"/>
    <row r="367" ht="12" customHeight="1" x14ac:dyDescent="0.25"/>
    <row r="368" ht="12" customHeight="1" x14ac:dyDescent="0.25"/>
    <row r="369" ht="12" customHeight="1" x14ac:dyDescent="0.25"/>
    <row r="370" ht="12" customHeight="1" x14ac:dyDescent="0.25"/>
    <row r="371" ht="12" customHeight="1" x14ac:dyDescent="0.25"/>
    <row r="372" ht="12" customHeight="1" x14ac:dyDescent="0.25"/>
    <row r="373" ht="12" customHeight="1" x14ac:dyDescent="0.25"/>
    <row r="374" ht="12" customHeight="1" x14ac:dyDescent="0.25"/>
    <row r="375" ht="12" customHeight="1" x14ac:dyDescent="0.25"/>
    <row r="376" ht="12" customHeight="1" x14ac:dyDescent="0.25"/>
    <row r="377" ht="12" customHeight="1" x14ac:dyDescent="0.25"/>
    <row r="378" ht="12" customHeight="1" x14ac:dyDescent="0.25"/>
    <row r="379" ht="12" customHeight="1" x14ac:dyDescent="0.25"/>
    <row r="380" ht="12" customHeight="1" x14ac:dyDescent="0.25"/>
    <row r="381" ht="12" customHeight="1" x14ac:dyDescent="0.25"/>
    <row r="382" ht="12" customHeight="1" x14ac:dyDescent="0.25"/>
    <row r="383" ht="12" customHeight="1" x14ac:dyDescent="0.25"/>
    <row r="384" ht="12" customHeight="1" x14ac:dyDescent="0.25"/>
    <row r="385" ht="12" customHeight="1" x14ac:dyDescent="0.25"/>
    <row r="386" ht="12" customHeight="1" x14ac:dyDescent="0.25"/>
    <row r="387" ht="12" customHeight="1" x14ac:dyDescent="0.25"/>
    <row r="388" ht="12" customHeight="1" x14ac:dyDescent="0.25"/>
    <row r="389" ht="12" customHeight="1" x14ac:dyDescent="0.25"/>
    <row r="390" ht="12" customHeight="1" x14ac:dyDescent="0.25"/>
    <row r="391" ht="12" customHeight="1" x14ac:dyDescent="0.25"/>
    <row r="392" ht="12" customHeight="1" x14ac:dyDescent="0.25"/>
    <row r="393" ht="12" customHeight="1" x14ac:dyDescent="0.25"/>
    <row r="394" ht="12" customHeight="1" x14ac:dyDescent="0.25"/>
    <row r="395" ht="12" customHeight="1" x14ac:dyDescent="0.25"/>
    <row r="396" ht="12" customHeight="1" x14ac:dyDescent="0.25"/>
    <row r="397" ht="12" customHeight="1" x14ac:dyDescent="0.25"/>
    <row r="398" ht="12" customHeight="1" x14ac:dyDescent="0.25"/>
    <row r="399" ht="12" customHeight="1" x14ac:dyDescent="0.25"/>
    <row r="400" ht="12" customHeight="1" x14ac:dyDescent="0.25"/>
    <row r="401" ht="12" customHeight="1" x14ac:dyDescent="0.25"/>
    <row r="402" ht="12" customHeight="1" x14ac:dyDescent="0.25"/>
    <row r="403" ht="12" customHeight="1" x14ac:dyDescent="0.25"/>
    <row r="404" ht="12" customHeight="1" x14ac:dyDescent="0.25"/>
    <row r="405" ht="12" customHeight="1" x14ac:dyDescent="0.25"/>
    <row r="406" ht="12" customHeight="1" x14ac:dyDescent="0.25"/>
    <row r="407" ht="12" customHeight="1" x14ac:dyDescent="0.25"/>
    <row r="408" ht="12" customHeight="1" x14ac:dyDescent="0.25"/>
    <row r="409" ht="12" customHeight="1" x14ac:dyDescent="0.25"/>
    <row r="410" ht="12" customHeight="1" x14ac:dyDescent="0.25"/>
    <row r="411" ht="12" customHeight="1" x14ac:dyDescent="0.25"/>
    <row r="412" ht="12" customHeight="1" x14ac:dyDescent="0.25"/>
    <row r="413" ht="12" customHeight="1" x14ac:dyDescent="0.25"/>
    <row r="414" ht="12" customHeight="1" x14ac:dyDescent="0.25"/>
    <row r="415" ht="12" customHeight="1" x14ac:dyDescent="0.25"/>
    <row r="416" ht="12" customHeight="1" x14ac:dyDescent="0.25"/>
    <row r="417" ht="12" customHeight="1" x14ac:dyDescent="0.25"/>
    <row r="418" ht="12" customHeight="1" x14ac:dyDescent="0.25"/>
    <row r="419" ht="12" customHeight="1" x14ac:dyDescent="0.25"/>
    <row r="420" ht="12" customHeight="1" x14ac:dyDescent="0.25"/>
    <row r="421" ht="12" customHeight="1" x14ac:dyDescent="0.25"/>
    <row r="422" ht="12" customHeight="1" x14ac:dyDescent="0.25"/>
    <row r="423" ht="12" customHeight="1" x14ac:dyDescent="0.25"/>
    <row r="424" ht="12" customHeight="1" x14ac:dyDescent="0.25"/>
    <row r="425" ht="12" customHeight="1" x14ac:dyDescent="0.25"/>
    <row r="426" ht="12" customHeight="1" x14ac:dyDescent="0.25"/>
    <row r="427" ht="12" customHeight="1" x14ac:dyDescent="0.25"/>
    <row r="428" ht="12" customHeight="1" x14ac:dyDescent="0.25"/>
    <row r="429" ht="12" customHeight="1" x14ac:dyDescent="0.25"/>
    <row r="430" ht="12" customHeight="1" x14ac:dyDescent="0.25"/>
    <row r="431" ht="12" customHeight="1" x14ac:dyDescent="0.25"/>
    <row r="432" ht="12" customHeight="1" x14ac:dyDescent="0.25"/>
    <row r="433" ht="12" customHeight="1" x14ac:dyDescent="0.25"/>
    <row r="434" ht="12" customHeight="1" x14ac:dyDescent="0.25"/>
    <row r="435" ht="12" customHeight="1" x14ac:dyDescent="0.25"/>
    <row r="436" ht="12" customHeight="1" x14ac:dyDescent="0.25"/>
    <row r="437" ht="12" customHeight="1" x14ac:dyDescent="0.25"/>
    <row r="438" ht="12" customHeight="1" x14ac:dyDescent="0.25"/>
    <row r="439" ht="12" customHeight="1" x14ac:dyDescent="0.25"/>
    <row r="440" ht="12" customHeight="1" x14ac:dyDescent="0.25"/>
    <row r="441" ht="12" customHeight="1" x14ac:dyDescent="0.25"/>
    <row r="442" ht="12" customHeight="1" x14ac:dyDescent="0.25"/>
    <row r="443" ht="12" customHeight="1" x14ac:dyDescent="0.25"/>
    <row r="444" ht="12" customHeight="1" x14ac:dyDescent="0.25"/>
    <row r="445" ht="12" customHeight="1" x14ac:dyDescent="0.25"/>
    <row r="446" ht="12" customHeight="1" x14ac:dyDescent="0.25"/>
    <row r="447" ht="12" customHeight="1" x14ac:dyDescent="0.25"/>
    <row r="448" ht="12" customHeight="1" x14ac:dyDescent="0.25"/>
    <row r="449" ht="12" customHeight="1" x14ac:dyDescent="0.25"/>
    <row r="450" ht="12" customHeight="1" x14ac:dyDescent="0.25"/>
    <row r="451" ht="12" customHeight="1" x14ac:dyDescent="0.25"/>
    <row r="452" ht="12" customHeight="1" x14ac:dyDescent="0.25"/>
    <row r="453" ht="12" customHeight="1" x14ac:dyDescent="0.25"/>
    <row r="454" ht="12" customHeight="1" x14ac:dyDescent="0.25"/>
    <row r="455" ht="12" customHeight="1" x14ac:dyDescent="0.25"/>
    <row r="456" ht="12" customHeight="1" x14ac:dyDescent="0.25"/>
    <row r="457" ht="12" customHeight="1" x14ac:dyDescent="0.25"/>
    <row r="458" ht="12" customHeight="1" x14ac:dyDescent="0.25"/>
    <row r="459" ht="12" customHeight="1" x14ac:dyDescent="0.25"/>
    <row r="460" ht="12" customHeight="1" x14ac:dyDescent="0.25"/>
    <row r="461" ht="12" customHeight="1" x14ac:dyDescent="0.25"/>
    <row r="462" ht="12" customHeight="1" x14ac:dyDescent="0.25"/>
    <row r="463" ht="12" customHeight="1" x14ac:dyDescent="0.25"/>
    <row r="464" ht="12" customHeight="1" x14ac:dyDescent="0.25"/>
    <row r="465" ht="12" customHeight="1" x14ac:dyDescent="0.25"/>
    <row r="466" ht="12" customHeight="1" x14ac:dyDescent="0.25"/>
    <row r="467" ht="12" customHeight="1" x14ac:dyDescent="0.25"/>
    <row r="468" ht="12" customHeight="1" x14ac:dyDescent="0.25"/>
    <row r="469" ht="12" customHeight="1" x14ac:dyDescent="0.25"/>
    <row r="470" ht="12" customHeight="1" x14ac:dyDescent="0.25"/>
    <row r="471" ht="12" customHeight="1" x14ac:dyDescent="0.25"/>
    <row r="472" ht="12" customHeight="1" x14ac:dyDescent="0.25"/>
    <row r="473" ht="12" customHeight="1" x14ac:dyDescent="0.25"/>
    <row r="474" ht="12" customHeight="1" x14ac:dyDescent="0.25"/>
    <row r="475" ht="12" customHeight="1" x14ac:dyDescent="0.25"/>
    <row r="476" ht="12" customHeight="1" x14ac:dyDescent="0.25"/>
    <row r="477" ht="12" customHeight="1" x14ac:dyDescent="0.25"/>
    <row r="478" ht="12" customHeight="1" x14ac:dyDescent="0.25"/>
    <row r="479" ht="12" customHeight="1" x14ac:dyDescent="0.25"/>
    <row r="480" ht="12" customHeight="1" x14ac:dyDescent="0.25"/>
    <row r="481" ht="12" customHeight="1" x14ac:dyDescent="0.25"/>
    <row r="482" ht="12" customHeight="1" x14ac:dyDescent="0.25"/>
    <row r="483" ht="12" customHeight="1" x14ac:dyDescent="0.25"/>
    <row r="484" ht="12" customHeight="1" x14ac:dyDescent="0.25"/>
    <row r="485" ht="12" customHeight="1" x14ac:dyDescent="0.25"/>
    <row r="486" ht="12" customHeight="1" x14ac:dyDescent="0.25"/>
    <row r="487" ht="12" customHeight="1" x14ac:dyDescent="0.25"/>
    <row r="488" ht="12" customHeight="1" x14ac:dyDescent="0.25"/>
    <row r="489" ht="12" customHeight="1" x14ac:dyDescent="0.25"/>
    <row r="490" ht="12" customHeight="1" x14ac:dyDescent="0.25"/>
    <row r="491" ht="12" customHeight="1" x14ac:dyDescent="0.25"/>
    <row r="492" ht="12" customHeight="1" x14ac:dyDescent="0.25"/>
    <row r="493" ht="12" customHeight="1" x14ac:dyDescent="0.25"/>
    <row r="494" ht="12" customHeight="1" x14ac:dyDescent="0.25"/>
    <row r="495" ht="12" customHeight="1" x14ac:dyDescent="0.25"/>
    <row r="496" ht="12" customHeight="1" x14ac:dyDescent="0.25"/>
    <row r="497" ht="12" customHeight="1" x14ac:dyDescent="0.25"/>
    <row r="498" ht="12" customHeight="1" x14ac:dyDescent="0.25"/>
    <row r="499" ht="12" customHeight="1" x14ac:dyDescent="0.25"/>
    <row r="500" ht="12" customHeight="1" x14ac:dyDescent="0.25"/>
    <row r="501" ht="12" customHeight="1" x14ac:dyDescent="0.25"/>
    <row r="502" ht="12" customHeight="1" x14ac:dyDescent="0.25"/>
    <row r="503" ht="12" customHeight="1" x14ac:dyDescent="0.25"/>
    <row r="504" ht="12" customHeight="1" x14ac:dyDescent="0.25"/>
    <row r="505" ht="12" customHeight="1" x14ac:dyDescent="0.25"/>
    <row r="506" ht="12" customHeight="1" x14ac:dyDescent="0.25"/>
    <row r="507" ht="12" customHeight="1" x14ac:dyDescent="0.25"/>
    <row r="508" ht="12" customHeight="1" x14ac:dyDescent="0.25"/>
    <row r="509" ht="12" customHeight="1" x14ac:dyDescent="0.25"/>
    <row r="510" ht="12" customHeight="1" x14ac:dyDescent="0.25"/>
    <row r="511" ht="12" customHeight="1" x14ac:dyDescent="0.25"/>
    <row r="512" ht="12" customHeight="1" x14ac:dyDescent="0.25"/>
    <row r="513" ht="12" customHeight="1" x14ac:dyDescent="0.25"/>
    <row r="514" ht="12" customHeight="1" x14ac:dyDescent="0.25"/>
    <row r="515" ht="12" customHeight="1" x14ac:dyDescent="0.25"/>
    <row r="516" ht="12" customHeight="1" x14ac:dyDescent="0.25"/>
    <row r="517" ht="12" customHeight="1" x14ac:dyDescent="0.25"/>
    <row r="518" ht="12" customHeight="1" x14ac:dyDescent="0.25"/>
    <row r="519" ht="12" customHeight="1" x14ac:dyDescent="0.25"/>
    <row r="520" ht="12" customHeight="1" x14ac:dyDescent="0.25"/>
    <row r="521" ht="12" customHeight="1" x14ac:dyDescent="0.25"/>
    <row r="522" ht="12" customHeight="1" x14ac:dyDescent="0.25"/>
    <row r="523" ht="12" customHeight="1" x14ac:dyDescent="0.25"/>
    <row r="524" ht="12" customHeight="1" x14ac:dyDescent="0.25"/>
    <row r="525" ht="12" customHeight="1" x14ac:dyDescent="0.25"/>
    <row r="526" ht="12" customHeight="1" x14ac:dyDescent="0.25"/>
    <row r="527" ht="12" customHeight="1" x14ac:dyDescent="0.25"/>
    <row r="528" ht="12" customHeight="1" x14ac:dyDescent="0.25"/>
    <row r="529" ht="12" customHeight="1" x14ac:dyDescent="0.25"/>
    <row r="530" ht="12" customHeight="1" x14ac:dyDescent="0.25"/>
    <row r="531" ht="12" customHeight="1" x14ac:dyDescent="0.25"/>
    <row r="532" ht="12" customHeight="1" x14ac:dyDescent="0.25"/>
    <row r="533" ht="12" customHeight="1" x14ac:dyDescent="0.25"/>
    <row r="534" ht="12" customHeight="1" x14ac:dyDescent="0.25"/>
    <row r="535" ht="12" customHeight="1" x14ac:dyDescent="0.25"/>
    <row r="536" ht="12" customHeight="1" x14ac:dyDescent="0.25"/>
    <row r="537" ht="12" customHeight="1" x14ac:dyDescent="0.25"/>
    <row r="538" ht="12" customHeight="1" x14ac:dyDescent="0.25"/>
    <row r="539" ht="12" customHeight="1" x14ac:dyDescent="0.25"/>
    <row r="540" ht="12" customHeight="1" x14ac:dyDescent="0.25"/>
    <row r="541" ht="12" customHeight="1" x14ac:dyDescent="0.25"/>
    <row r="542" ht="12" customHeight="1" x14ac:dyDescent="0.25"/>
    <row r="543" ht="12" customHeight="1" x14ac:dyDescent="0.25"/>
    <row r="544" ht="12" customHeight="1" x14ac:dyDescent="0.25"/>
    <row r="545" ht="12" customHeight="1" x14ac:dyDescent="0.25"/>
    <row r="546" ht="12" customHeight="1" x14ac:dyDescent="0.25"/>
    <row r="547" ht="12" customHeight="1" x14ac:dyDescent="0.25"/>
    <row r="548" ht="12" customHeight="1" x14ac:dyDescent="0.25"/>
    <row r="549" ht="12" customHeight="1" x14ac:dyDescent="0.25"/>
    <row r="550" ht="12" customHeight="1" x14ac:dyDescent="0.25"/>
    <row r="551" ht="12" customHeight="1" x14ac:dyDescent="0.25"/>
    <row r="552" ht="12" customHeight="1" x14ac:dyDescent="0.25"/>
    <row r="553" ht="12" customHeight="1" x14ac:dyDescent="0.25"/>
    <row r="554" ht="12" customHeight="1" x14ac:dyDescent="0.25"/>
    <row r="555" ht="12" customHeight="1" x14ac:dyDescent="0.25"/>
    <row r="556" ht="12" customHeight="1" x14ac:dyDescent="0.25"/>
    <row r="557" ht="12" customHeight="1" x14ac:dyDescent="0.25"/>
    <row r="558" ht="12" customHeight="1" x14ac:dyDescent="0.25"/>
    <row r="559" ht="12" customHeight="1" x14ac:dyDescent="0.25"/>
    <row r="560" ht="12" customHeight="1" x14ac:dyDescent="0.25"/>
    <row r="561" ht="12" customHeight="1" x14ac:dyDescent="0.25"/>
    <row r="562" ht="12" customHeight="1" x14ac:dyDescent="0.25"/>
    <row r="563" ht="12" customHeight="1" x14ac:dyDescent="0.25"/>
    <row r="564" ht="12" customHeight="1" x14ac:dyDescent="0.25"/>
    <row r="565" ht="12" customHeight="1" x14ac:dyDescent="0.25"/>
    <row r="566" ht="12" customHeight="1" x14ac:dyDescent="0.25"/>
    <row r="567" ht="12" customHeight="1" x14ac:dyDescent="0.25"/>
    <row r="568" ht="12" customHeight="1" x14ac:dyDescent="0.25"/>
    <row r="569" ht="12" customHeight="1" x14ac:dyDescent="0.25"/>
    <row r="570" ht="12" customHeight="1" x14ac:dyDescent="0.25"/>
    <row r="571" ht="12" customHeight="1" x14ac:dyDescent="0.25"/>
    <row r="572" ht="12" customHeight="1" x14ac:dyDescent="0.25"/>
    <row r="573" ht="12" customHeight="1" x14ac:dyDescent="0.25"/>
    <row r="574" ht="12" customHeight="1" x14ac:dyDescent="0.25"/>
    <row r="575" ht="12" customHeight="1" x14ac:dyDescent="0.25"/>
    <row r="576" ht="12" customHeight="1" x14ac:dyDescent="0.25"/>
    <row r="577" ht="12" customHeight="1" x14ac:dyDescent="0.25"/>
    <row r="578" ht="12" customHeight="1" x14ac:dyDescent="0.25"/>
    <row r="579" ht="12" customHeight="1" x14ac:dyDescent="0.25"/>
    <row r="580" ht="12" customHeight="1" x14ac:dyDescent="0.25"/>
    <row r="581" ht="12" customHeight="1" x14ac:dyDescent="0.25"/>
    <row r="582" ht="12" customHeight="1" x14ac:dyDescent="0.25"/>
    <row r="583" ht="12" customHeight="1" x14ac:dyDescent="0.25"/>
    <row r="584" ht="12" customHeight="1" x14ac:dyDescent="0.25"/>
    <row r="585" ht="12" customHeight="1" x14ac:dyDescent="0.25"/>
    <row r="586" ht="12" customHeight="1" x14ac:dyDescent="0.25"/>
    <row r="587" ht="12" customHeight="1" x14ac:dyDescent="0.25"/>
    <row r="588" ht="12" customHeight="1" x14ac:dyDescent="0.25"/>
    <row r="589" ht="12" customHeight="1" x14ac:dyDescent="0.25"/>
    <row r="590" ht="12" customHeight="1" x14ac:dyDescent="0.25"/>
    <row r="591" ht="12" customHeight="1" x14ac:dyDescent="0.25"/>
    <row r="592" ht="12" customHeight="1" x14ac:dyDescent="0.25"/>
    <row r="593" ht="12" customHeight="1" x14ac:dyDescent="0.25"/>
    <row r="594" ht="12" customHeight="1" x14ac:dyDescent="0.25"/>
    <row r="595" ht="12" customHeight="1" x14ac:dyDescent="0.25"/>
    <row r="596" ht="12" customHeight="1" x14ac:dyDescent="0.25"/>
    <row r="597" ht="12" customHeight="1" x14ac:dyDescent="0.25"/>
    <row r="598" ht="12" customHeight="1" x14ac:dyDescent="0.25"/>
    <row r="599" ht="12" customHeight="1" x14ac:dyDescent="0.25"/>
    <row r="600" ht="12" customHeight="1" x14ac:dyDescent="0.25"/>
    <row r="601" ht="12" customHeight="1" x14ac:dyDescent="0.25"/>
    <row r="602" ht="12" customHeight="1" x14ac:dyDescent="0.25"/>
    <row r="603" ht="12" customHeight="1" x14ac:dyDescent="0.25"/>
    <row r="604" ht="12" customHeight="1" x14ac:dyDescent="0.25"/>
    <row r="605" ht="12" customHeight="1" x14ac:dyDescent="0.25"/>
    <row r="606" ht="12" customHeight="1" x14ac:dyDescent="0.25"/>
    <row r="607" ht="12" customHeight="1" x14ac:dyDescent="0.25"/>
    <row r="608" ht="12" customHeight="1" x14ac:dyDescent="0.25"/>
    <row r="609" ht="12" customHeight="1" x14ac:dyDescent="0.25"/>
    <row r="610" ht="12" customHeight="1" x14ac:dyDescent="0.25"/>
    <row r="611" ht="12" customHeight="1" x14ac:dyDescent="0.25"/>
    <row r="612" ht="12" customHeight="1" x14ac:dyDescent="0.25"/>
    <row r="613" ht="12" customHeight="1" x14ac:dyDescent="0.25"/>
    <row r="614" ht="12" customHeight="1" x14ac:dyDescent="0.25"/>
    <row r="615" ht="12" customHeight="1" x14ac:dyDescent="0.25"/>
    <row r="616" ht="12" customHeight="1" x14ac:dyDescent="0.25"/>
    <row r="617" ht="12" customHeight="1" x14ac:dyDescent="0.25"/>
    <row r="618" ht="12" customHeight="1" x14ac:dyDescent="0.25"/>
    <row r="619" ht="12" customHeight="1" x14ac:dyDescent="0.25"/>
    <row r="620" ht="12" customHeight="1" x14ac:dyDescent="0.25"/>
    <row r="621" ht="12" customHeight="1" x14ac:dyDescent="0.25"/>
    <row r="622" ht="12" customHeight="1" x14ac:dyDescent="0.25"/>
    <row r="623" ht="12" customHeight="1" x14ac:dyDescent="0.25"/>
    <row r="624" ht="12" customHeight="1" x14ac:dyDescent="0.25"/>
    <row r="625" ht="12" customHeight="1" x14ac:dyDescent="0.25"/>
    <row r="626" ht="12" customHeight="1" x14ac:dyDescent="0.25"/>
    <row r="627" ht="12" customHeight="1" x14ac:dyDescent="0.25"/>
    <row r="628" ht="12" customHeight="1" x14ac:dyDescent="0.25"/>
    <row r="629" ht="12" customHeight="1" x14ac:dyDescent="0.25"/>
    <row r="630" ht="12" customHeight="1" x14ac:dyDescent="0.25"/>
    <row r="631" ht="12" customHeight="1" x14ac:dyDescent="0.25"/>
    <row r="632" ht="12" customHeight="1" x14ac:dyDescent="0.25"/>
    <row r="633" ht="12" customHeight="1" x14ac:dyDescent="0.25"/>
    <row r="634" ht="12" customHeight="1" x14ac:dyDescent="0.25"/>
    <row r="635" ht="12" customHeight="1" x14ac:dyDescent="0.25"/>
    <row r="636" ht="12" customHeight="1" x14ac:dyDescent="0.25"/>
    <row r="637" ht="12" customHeight="1" x14ac:dyDescent="0.25"/>
    <row r="638" ht="12" customHeight="1" x14ac:dyDescent="0.25"/>
    <row r="639" ht="12" customHeight="1" x14ac:dyDescent="0.25"/>
    <row r="640" ht="12" customHeight="1" x14ac:dyDescent="0.25"/>
    <row r="641" ht="12" customHeight="1" x14ac:dyDescent="0.25"/>
    <row r="642" ht="12" customHeight="1" x14ac:dyDescent="0.25"/>
    <row r="643" ht="12" customHeight="1" x14ac:dyDescent="0.25"/>
    <row r="644" ht="12" customHeight="1" x14ac:dyDescent="0.25"/>
    <row r="645" ht="12" customHeight="1" x14ac:dyDescent="0.25"/>
    <row r="646" ht="12" customHeight="1" x14ac:dyDescent="0.25"/>
    <row r="647" ht="12" customHeight="1" x14ac:dyDescent="0.25"/>
    <row r="648" ht="12" customHeight="1" x14ac:dyDescent="0.25"/>
    <row r="649" ht="12" customHeight="1" x14ac:dyDescent="0.25"/>
    <row r="650" ht="12" customHeight="1" x14ac:dyDescent="0.25"/>
    <row r="651" ht="12" customHeight="1" x14ac:dyDescent="0.25"/>
    <row r="652" ht="12" customHeight="1" x14ac:dyDescent="0.25"/>
    <row r="653" ht="12" customHeight="1" x14ac:dyDescent="0.25"/>
    <row r="654" ht="12" customHeight="1" x14ac:dyDescent="0.25"/>
    <row r="655" ht="12" customHeight="1" x14ac:dyDescent="0.25"/>
    <row r="656" ht="12" customHeight="1" x14ac:dyDescent="0.25"/>
    <row r="657" ht="12" customHeight="1" x14ac:dyDescent="0.25"/>
    <row r="658" ht="12" customHeight="1" x14ac:dyDescent="0.25"/>
    <row r="659" ht="12" customHeight="1" x14ac:dyDescent="0.25"/>
    <row r="660" ht="12" customHeight="1" x14ac:dyDescent="0.25"/>
    <row r="661" ht="12" customHeight="1" x14ac:dyDescent="0.25"/>
    <row r="662" ht="12" customHeight="1" x14ac:dyDescent="0.25"/>
    <row r="663" ht="12" customHeight="1" x14ac:dyDescent="0.25"/>
    <row r="664" ht="12" customHeight="1" x14ac:dyDescent="0.25"/>
    <row r="665" ht="12" customHeight="1" x14ac:dyDescent="0.25"/>
    <row r="666" ht="12" customHeight="1" x14ac:dyDescent="0.25"/>
    <row r="667" ht="12" customHeight="1" x14ac:dyDescent="0.25"/>
    <row r="668" ht="12" customHeight="1" x14ac:dyDescent="0.25"/>
    <row r="669" ht="12" customHeight="1" x14ac:dyDescent="0.25"/>
    <row r="670" ht="12" customHeight="1" x14ac:dyDescent="0.25"/>
    <row r="671" ht="12" customHeight="1" x14ac:dyDescent="0.25"/>
    <row r="672" ht="12" customHeight="1" x14ac:dyDescent="0.25"/>
    <row r="673" ht="12" customHeight="1" x14ac:dyDescent="0.25"/>
    <row r="674" ht="12" customHeight="1" x14ac:dyDescent="0.25"/>
    <row r="675" ht="12" customHeight="1" x14ac:dyDescent="0.25"/>
    <row r="676" ht="12" customHeight="1" x14ac:dyDescent="0.25"/>
    <row r="677" ht="12" customHeight="1" x14ac:dyDescent="0.25"/>
    <row r="678" ht="12" customHeight="1" x14ac:dyDescent="0.25"/>
    <row r="679" ht="12" customHeight="1" x14ac:dyDescent="0.25"/>
    <row r="680" ht="12" customHeight="1" x14ac:dyDescent="0.25"/>
    <row r="681" ht="12" customHeight="1" x14ac:dyDescent="0.25"/>
    <row r="682" ht="12" customHeight="1" x14ac:dyDescent="0.25"/>
    <row r="683" ht="12" customHeight="1" x14ac:dyDescent="0.25"/>
    <row r="684" ht="12" customHeight="1" x14ac:dyDescent="0.25"/>
    <row r="685" ht="12" customHeight="1" x14ac:dyDescent="0.25"/>
    <row r="686" ht="12" customHeight="1" x14ac:dyDescent="0.25"/>
    <row r="687" ht="12" customHeight="1" x14ac:dyDescent="0.25"/>
    <row r="688" ht="12" customHeight="1" x14ac:dyDescent="0.25"/>
    <row r="689" ht="12" customHeight="1" x14ac:dyDescent="0.25"/>
    <row r="690" ht="12" customHeight="1" x14ac:dyDescent="0.25"/>
    <row r="691" ht="12" customHeight="1" x14ac:dyDescent="0.25"/>
    <row r="692" ht="12" customHeight="1" x14ac:dyDescent="0.25"/>
    <row r="693" ht="12" customHeight="1" x14ac:dyDescent="0.25"/>
    <row r="694" ht="12" customHeight="1" x14ac:dyDescent="0.25"/>
    <row r="695" ht="12" customHeight="1" x14ac:dyDescent="0.25"/>
    <row r="696" ht="12" customHeight="1" x14ac:dyDescent="0.25"/>
    <row r="697" ht="12" customHeight="1" x14ac:dyDescent="0.25"/>
    <row r="698" ht="12" customHeight="1" x14ac:dyDescent="0.25"/>
    <row r="699" ht="12" customHeight="1" x14ac:dyDescent="0.25"/>
    <row r="700" ht="12" customHeight="1" x14ac:dyDescent="0.25"/>
    <row r="701" ht="12" customHeight="1" x14ac:dyDescent="0.25"/>
    <row r="702" ht="12" customHeight="1" x14ac:dyDescent="0.25"/>
    <row r="703" ht="12" customHeight="1" x14ac:dyDescent="0.25"/>
    <row r="704" ht="12" customHeight="1" x14ac:dyDescent="0.25"/>
    <row r="705" ht="12" customHeight="1" x14ac:dyDescent="0.25"/>
    <row r="706" ht="12" customHeight="1" x14ac:dyDescent="0.25"/>
    <row r="707" ht="12" customHeight="1" x14ac:dyDescent="0.25"/>
    <row r="708" ht="12" customHeight="1" x14ac:dyDescent="0.25"/>
    <row r="709" ht="12" customHeight="1" x14ac:dyDescent="0.25"/>
    <row r="710" ht="12" customHeight="1" x14ac:dyDescent="0.25"/>
    <row r="711" ht="12" customHeight="1" x14ac:dyDescent="0.25"/>
    <row r="712" ht="12" customHeight="1" x14ac:dyDescent="0.25"/>
    <row r="713" ht="12" customHeight="1" x14ac:dyDescent="0.25"/>
    <row r="714" ht="12" customHeight="1" x14ac:dyDescent="0.25"/>
    <row r="715" ht="12" customHeight="1" x14ac:dyDescent="0.25"/>
    <row r="716" ht="12" customHeight="1" x14ac:dyDescent="0.25"/>
    <row r="717" ht="12" customHeight="1" x14ac:dyDescent="0.25"/>
    <row r="718" ht="12" customHeight="1" x14ac:dyDescent="0.25"/>
    <row r="719" ht="12" customHeight="1" x14ac:dyDescent="0.25"/>
    <row r="720" ht="12" customHeight="1" x14ac:dyDescent="0.25"/>
    <row r="721" ht="12" customHeight="1" x14ac:dyDescent="0.25"/>
    <row r="722" ht="12" customHeight="1" x14ac:dyDescent="0.25"/>
    <row r="723" ht="12" customHeight="1" x14ac:dyDescent="0.25"/>
    <row r="724" ht="12" customHeight="1" x14ac:dyDescent="0.25"/>
    <row r="725" ht="12" customHeight="1" x14ac:dyDescent="0.25"/>
    <row r="726" ht="12" customHeight="1" x14ac:dyDescent="0.25"/>
    <row r="727" ht="12" customHeight="1" x14ac:dyDescent="0.25"/>
    <row r="728" ht="12" customHeight="1" x14ac:dyDescent="0.25"/>
    <row r="729" ht="12" customHeight="1" x14ac:dyDescent="0.25"/>
    <row r="730" ht="12" customHeight="1" x14ac:dyDescent="0.25"/>
    <row r="731" ht="12" customHeight="1" x14ac:dyDescent="0.25"/>
    <row r="732" ht="12" customHeight="1" x14ac:dyDescent="0.25"/>
    <row r="733" ht="12" customHeight="1" x14ac:dyDescent="0.25"/>
    <row r="734" ht="12" customHeight="1" x14ac:dyDescent="0.25"/>
    <row r="735" ht="12" customHeight="1" x14ac:dyDescent="0.25"/>
    <row r="736" ht="12" customHeight="1" x14ac:dyDescent="0.25"/>
    <row r="737" ht="12" customHeight="1" x14ac:dyDescent="0.25"/>
    <row r="738" ht="12" customHeight="1" x14ac:dyDescent="0.25"/>
    <row r="739" ht="12" customHeight="1" x14ac:dyDescent="0.25"/>
    <row r="740" ht="12" customHeight="1" x14ac:dyDescent="0.25"/>
    <row r="741" ht="12" customHeight="1" x14ac:dyDescent="0.25"/>
    <row r="742" ht="12" customHeight="1" x14ac:dyDescent="0.25"/>
    <row r="743" ht="12" customHeight="1" x14ac:dyDescent="0.25"/>
    <row r="744" ht="12" customHeight="1" x14ac:dyDescent="0.25"/>
    <row r="745" ht="12" customHeight="1" x14ac:dyDescent="0.25"/>
    <row r="746" ht="12" customHeight="1" x14ac:dyDescent="0.25"/>
    <row r="747" ht="12" customHeight="1" x14ac:dyDescent="0.25"/>
    <row r="748" ht="12" customHeight="1" x14ac:dyDescent="0.25"/>
    <row r="749" ht="12" customHeight="1" x14ac:dyDescent="0.25"/>
    <row r="750" ht="12" customHeight="1" x14ac:dyDescent="0.25"/>
    <row r="751" ht="12" customHeight="1" x14ac:dyDescent="0.25"/>
    <row r="752" ht="12" customHeight="1" x14ac:dyDescent="0.25"/>
    <row r="753" ht="12" customHeight="1" x14ac:dyDescent="0.25"/>
    <row r="754" ht="12" customHeight="1" x14ac:dyDescent="0.25"/>
    <row r="755" ht="12" customHeight="1" x14ac:dyDescent="0.25"/>
    <row r="756" ht="12" customHeight="1" x14ac:dyDescent="0.25"/>
    <row r="757" ht="12" customHeight="1" x14ac:dyDescent="0.25"/>
    <row r="758" ht="12" customHeight="1" x14ac:dyDescent="0.25"/>
    <row r="759" ht="12" customHeight="1" x14ac:dyDescent="0.25"/>
    <row r="760" ht="12" customHeight="1" x14ac:dyDescent="0.25"/>
    <row r="761" ht="12" customHeight="1" x14ac:dyDescent="0.25"/>
    <row r="762" ht="12" customHeight="1" x14ac:dyDescent="0.25"/>
    <row r="763" ht="12" customHeight="1" x14ac:dyDescent="0.25"/>
    <row r="764" ht="12" customHeight="1" x14ac:dyDescent="0.25"/>
    <row r="765" ht="12" customHeight="1" x14ac:dyDescent="0.25"/>
    <row r="766" ht="12" customHeight="1" x14ac:dyDescent="0.25"/>
    <row r="767" ht="12" customHeight="1" x14ac:dyDescent="0.25"/>
    <row r="768" ht="12" customHeight="1" x14ac:dyDescent="0.25"/>
    <row r="769" ht="12" customHeight="1" x14ac:dyDescent="0.25"/>
    <row r="770" ht="12" customHeight="1" x14ac:dyDescent="0.25"/>
    <row r="771" ht="12" customHeight="1" x14ac:dyDescent="0.25"/>
    <row r="772" ht="12" customHeight="1" x14ac:dyDescent="0.25"/>
    <row r="773" ht="12" customHeight="1" x14ac:dyDescent="0.25"/>
    <row r="774" ht="12" customHeight="1" x14ac:dyDescent="0.25"/>
    <row r="775" ht="12" customHeight="1" x14ac:dyDescent="0.25"/>
    <row r="776" ht="12" customHeight="1" x14ac:dyDescent="0.25"/>
    <row r="777" ht="12" customHeight="1" x14ac:dyDescent="0.25"/>
    <row r="778" ht="12" customHeight="1" x14ac:dyDescent="0.25"/>
    <row r="779" ht="12" customHeight="1" x14ac:dyDescent="0.25"/>
    <row r="780" ht="12" customHeight="1" x14ac:dyDescent="0.25"/>
    <row r="781" ht="12" customHeight="1" x14ac:dyDescent="0.25"/>
    <row r="782" ht="12" customHeight="1" x14ac:dyDescent="0.25"/>
    <row r="783" ht="12" customHeight="1" x14ac:dyDescent="0.25"/>
    <row r="784" ht="12" customHeight="1" x14ac:dyDescent="0.25"/>
    <row r="785" ht="12" customHeight="1" x14ac:dyDescent="0.25"/>
    <row r="786" ht="12" customHeight="1" x14ac:dyDescent="0.25"/>
    <row r="787" ht="12" customHeight="1" x14ac:dyDescent="0.25"/>
    <row r="788" ht="12" customHeight="1" x14ac:dyDescent="0.25"/>
    <row r="789" ht="12" customHeight="1" x14ac:dyDescent="0.25"/>
    <row r="790" ht="12" customHeight="1" x14ac:dyDescent="0.25"/>
    <row r="791" ht="12" customHeight="1" x14ac:dyDescent="0.25"/>
    <row r="792" ht="12" customHeight="1" x14ac:dyDescent="0.25"/>
    <row r="793" ht="12" customHeight="1" x14ac:dyDescent="0.25"/>
    <row r="794" ht="12" customHeight="1" x14ac:dyDescent="0.25"/>
    <row r="795" ht="12" customHeight="1" x14ac:dyDescent="0.25"/>
    <row r="796" ht="12" customHeight="1" x14ac:dyDescent="0.25"/>
    <row r="797" ht="12" customHeight="1" x14ac:dyDescent="0.25"/>
    <row r="798" ht="12" customHeight="1" x14ac:dyDescent="0.25"/>
    <row r="799" ht="12" customHeight="1" x14ac:dyDescent="0.25"/>
    <row r="800" ht="12" customHeight="1" x14ac:dyDescent="0.25"/>
    <row r="801" ht="12" customHeight="1" x14ac:dyDescent="0.25"/>
    <row r="802" ht="12" customHeight="1" x14ac:dyDescent="0.25"/>
    <row r="803" ht="12" customHeight="1" x14ac:dyDescent="0.25"/>
    <row r="804" ht="12" customHeight="1" x14ac:dyDescent="0.25"/>
    <row r="805" ht="12" customHeight="1" x14ac:dyDescent="0.25"/>
    <row r="806" ht="12" customHeight="1" x14ac:dyDescent="0.25"/>
    <row r="807" ht="12" customHeight="1" x14ac:dyDescent="0.25"/>
    <row r="808" ht="12" customHeight="1" x14ac:dyDescent="0.25"/>
    <row r="809" ht="12" customHeight="1" x14ac:dyDescent="0.25"/>
    <row r="810" ht="12" customHeight="1" x14ac:dyDescent="0.25"/>
    <row r="811" ht="12" customHeight="1" x14ac:dyDescent="0.25"/>
    <row r="812" ht="12" customHeight="1" x14ac:dyDescent="0.25"/>
    <row r="813" ht="12" customHeight="1" x14ac:dyDescent="0.25"/>
    <row r="814" ht="12" customHeight="1" x14ac:dyDescent="0.25"/>
    <row r="815" ht="12" customHeight="1" x14ac:dyDescent="0.25"/>
    <row r="816" ht="12" customHeight="1" x14ac:dyDescent="0.25"/>
    <row r="817" ht="12" customHeight="1" x14ac:dyDescent="0.25"/>
    <row r="818" ht="12" customHeight="1" x14ac:dyDescent="0.25"/>
    <row r="819" ht="12" customHeight="1" x14ac:dyDescent="0.25"/>
    <row r="820" ht="12" customHeight="1" x14ac:dyDescent="0.25"/>
    <row r="821" ht="12" customHeight="1" x14ac:dyDescent="0.25"/>
    <row r="822" ht="12" customHeight="1" x14ac:dyDescent="0.25"/>
    <row r="823" ht="12" customHeight="1" x14ac:dyDescent="0.25"/>
    <row r="824" ht="12" customHeight="1" x14ac:dyDescent="0.25"/>
    <row r="825" ht="12" customHeight="1" x14ac:dyDescent="0.25"/>
    <row r="826" ht="12" customHeight="1" x14ac:dyDescent="0.25"/>
    <row r="827" ht="12" customHeight="1" x14ac:dyDescent="0.25"/>
    <row r="828" ht="12" customHeight="1" x14ac:dyDescent="0.25"/>
    <row r="829" ht="12" customHeight="1" x14ac:dyDescent="0.25"/>
    <row r="830" ht="12" customHeight="1" x14ac:dyDescent="0.25"/>
    <row r="831" ht="12" customHeight="1" x14ac:dyDescent="0.25"/>
    <row r="832" ht="12" customHeight="1" x14ac:dyDescent="0.25"/>
    <row r="833" ht="12" customHeight="1" x14ac:dyDescent="0.25"/>
    <row r="834" ht="12" customHeight="1" x14ac:dyDescent="0.25"/>
    <row r="835" ht="12" customHeight="1" x14ac:dyDescent="0.25"/>
    <row r="836" ht="12" customHeight="1" x14ac:dyDescent="0.25"/>
    <row r="837" ht="12" customHeight="1" x14ac:dyDescent="0.25"/>
    <row r="838" ht="12" customHeight="1" x14ac:dyDescent="0.25"/>
    <row r="839" ht="12" customHeight="1" x14ac:dyDescent="0.25"/>
    <row r="840" ht="12" customHeight="1" x14ac:dyDescent="0.25"/>
    <row r="841" ht="12" customHeight="1" x14ac:dyDescent="0.25"/>
    <row r="842" ht="12" customHeight="1" x14ac:dyDescent="0.25"/>
    <row r="843" ht="12" customHeight="1" x14ac:dyDescent="0.25"/>
    <row r="844" ht="12" customHeight="1" x14ac:dyDescent="0.25"/>
    <row r="845" ht="12" customHeight="1" x14ac:dyDescent="0.25"/>
    <row r="846" ht="12" customHeight="1" x14ac:dyDescent="0.25"/>
    <row r="847" ht="12" customHeight="1" x14ac:dyDescent="0.25"/>
    <row r="848" ht="12" customHeight="1" x14ac:dyDescent="0.25"/>
    <row r="849" ht="12" customHeight="1" x14ac:dyDescent="0.25"/>
    <row r="850" ht="12" customHeight="1" x14ac:dyDescent="0.25"/>
    <row r="851" ht="12" customHeight="1" x14ac:dyDescent="0.25"/>
    <row r="852" ht="12" customHeight="1" x14ac:dyDescent="0.25"/>
    <row r="853" ht="12" customHeight="1" x14ac:dyDescent="0.25"/>
    <row r="854" ht="12" customHeight="1" x14ac:dyDescent="0.25"/>
    <row r="855" ht="12" customHeight="1" x14ac:dyDescent="0.25"/>
    <row r="856" ht="12" customHeight="1" x14ac:dyDescent="0.25"/>
    <row r="857" ht="12" customHeight="1" x14ac:dyDescent="0.25"/>
    <row r="858" ht="12" customHeight="1" x14ac:dyDescent="0.25"/>
    <row r="859" ht="12" customHeight="1" x14ac:dyDescent="0.25"/>
    <row r="860" ht="12" customHeight="1" x14ac:dyDescent="0.25"/>
    <row r="861" ht="12" customHeight="1" x14ac:dyDescent="0.25"/>
    <row r="862" ht="12" customHeight="1" x14ac:dyDescent="0.25"/>
    <row r="863" ht="12" customHeight="1" x14ac:dyDescent="0.25"/>
    <row r="864" ht="12" customHeight="1" x14ac:dyDescent="0.25"/>
    <row r="865" ht="12" customHeight="1" x14ac:dyDescent="0.25"/>
    <row r="866" ht="12" customHeight="1" x14ac:dyDescent="0.25"/>
    <row r="867" ht="12" customHeight="1" x14ac:dyDescent="0.25"/>
    <row r="868" ht="12" customHeight="1" x14ac:dyDescent="0.25"/>
    <row r="869" ht="12" customHeight="1" x14ac:dyDescent="0.25"/>
    <row r="870" ht="12" customHeight="1" x14ac:dyDescent="0.25"/>
    <row r="871" ht="12" customHeight="1" x14ac:dyDescent="0.25"/>
    <row r="872" ht="12" customHeight="1" x14ac:dyDescent="0.25"/>
    <row r="873" ht="12" customHeight="1" x14ac:dyDescent="0.25"/>
    <row r="874" ht="12" customHeight="1" x14ac:dyDescent="0.25"/>
    <row r="875" ht="12" customHeight="1" x14ac:dyDescent="0.25"/>
    <row r="876" ht="12" customHeight="1" x14ac:dyDescent="0.25"/>
    <row r="877" ht="12" customHeight="1" x14ac:dyDescent="0.25"/>
    <row r="878" ht="12" customHeight="1" x14ac:dyDescent="0.25"/>
    <row r="879" ht="12" customHeight="1" x14ac:dyDescent="0.25"/>
    <row r="880" ht="12" customHeight="1" x14ac:dyDescent="0.25"/>
    <row r="881" ht="12" customHeight="1" x14ac:dyDescent="0.25"/>
    <row r="882" ht="12" customHeight="1" x14ac:dyDescent="0.25"/>
    <row r="883" ht="12" customHeight="1" x14ac:dyDescent="0.25"/>
    <row r="884" ht="12" customHeight="1" x14ac:dyDescent="0.25"/>
    <row r="885" ht="12" customHeight="1" x14ac:dyDescent="0.25"/>
    <row r="886" ht="12" customHeight="1" x14ac:dyDescent="0.25"/>
    <row r="887" ht="12" customHeight="1" x14ac:dyDescent="0.25"/>
    <row r="888" ht="12" customHeight="1" x14ac:dyDescent="0.25"/>
    <row r="889" ht="12" customHeight="1" x14ac:dyDescent="0.25"/>
    <row r="890" ht="12" customHeight="1" x14ac:dyDescent="0.25"/>
    <row r="891" ht="12" customHeight="1" x14ac:dyDescent="0.25"/>
    <row r="892" ht="12" customHeight="1" x14ac:dyDescent="0.25"/>
    <row r="893" ht="12" customHeight="1" x14ac:dyDescent="0.25"/>
    <row r="894" ht="12" customHeight="1" x14ac:dyDescent="0.25"/>
    <row r="895" ht="12" customHeight="1" x14ac:dyDescent="0.25"/>
    <row r="896" ht="12" customHeight="1" x14ac:dyDescent="0.25"/>
    <row r="897" ht="12" customHeight="1" x14ac:dyDescent="0.25"/>
    <row r="898" ht="12" customHeight="1" x14ac:dyDescent="0.25"/>
    <row r="899" ht="12" customHeight="1" x14ac:dyDescent="0.25"/>
    <row r="900" ht="12" customHeight="1" x14ac:dyDescent="0.25"/>
    <row r="901" ht="12" customHeight="1" x14ac:dyDescent="0.25"/>
    <row r="902" ht="12" customHeight="1" x14ac:dyDescent="0.25"/>
    <row r="903" ht="12" customHeight="1" x14ac:dyDescent="0.25"/>
    <row r="904" ht="12" customHeight="1" x14ac:dyDescent="0.25"/>
    <row r="905" ht="12" customHeight="1" x14ac:dyDescent="0.25"/>
    <row r="906" ht="12" customHeight="1" x14ac:dyDescent="0.25"/>
    <row r="907" ht="12" customHeight="1" x14ac:dyDescent="0.25"/>
    <row r="908" ht="12" customHeight="1" x14ac:dyDescent="0.25"/>
    <row r="909" ht="12" customHeight="1" x14ac:dyDescent="0.25"/>
    <row r="910" ht="12" customHeight="1" x14ac:dyDescent="0.25"/>
    <row r="911" ht="12" customHeight="1" x14ac:dyDescent="0.25"/>
    <row r="912" ht="12" customHeight="1" x14ac:dyDescent="0.25"/>
    <row r="913" ht="12" customHeight="1" x14ac:dyDescent="0.25"/>
    <row r="914" ht="12" customHeight="1" x14ac:dyDescent="0.25"/>
    <row r="915" ht="12" customHeight="1" x14ac:dyDescent="0.25"/>
    <row r="916" ht="12" customHeight="1" x14ac:dyDescent="0.25"/>
    <row r="917" ht="12" customHeight="1" x14ac:dyDescent="0.25"/>
    <row r="918" ht="12" customHeight="1" x14ac:dyDescent="0.25"/>
    <row r="919" ht="12" customHeight="1" x14ac:dyDescent="0.25"/>
    <row r="920" ht="12" customHeight="1" x14ac:dyDescent="0.25"/>
    <row r="921" ht="12" customHeight="1" x14ac:dyDescent="0.25"/>
    <row r="922" ht="12" customHeight="1" x14ac:dyDescent="0.25"/>
    <row r="923" ht="12" customHeight="1" x14ac:dyDescent="0.25"/>
    <row r="924" ht="12" customHeight="1" x14ac:dyDescent="0.25"/>
    <row r="925" ht="12" customHeight="1" x14ac:dyDescent="0.25"/>
    <row r="926" ht="12" customHeight="1" x14ac:dyDescent="0.25"/>
    <row r="927" ht="12" customHeight="1" x14ac:dyDescent="0.25"/>
    <row r="928" ht="12" customHeight="1" x14ac:dyDescent="0.25"/>
    <row r="929" ht="12" customHeight="1" x14ac:dyDescent="0.25"/>
    <row r="930" ht="12" customHeight="1" x14ac:dyDescent="0.25"/>
    <row r="931" ht="12" customHeight="1" x14ac:dyDescent="0.25"/>
    <row r="932" ht="12" customHeight="1" x14ac:dyDescent="0.25"/>
    <row r="933" ht="12" customHeight="1" x14ac:dyDescent="0.25"/>
    <row r="934" ht="12" customHeight="1" x14ac:dyDescent="0.25"/>
    <row r="935" ht="12" customHeight="1" x14ac:dyDescent="0.25"/>
    <row r="936" ht="12" customHeight="1" x14ac:dyDescent="0.25"/>
    <row r="937" ht="12" customHeight="1" x14ac:dyDescent="0.25"/>
    <row r="938" ht="12" customHeight="1" x14ac:dyDescent="0.25"/>
    <row r="939" ht="12" customHeight="1" x14ac:dyDescent="0.25"/>
    <row r="940" ht="12" customHeight="1" x14ac:dyDescent="0.25"/>
    <row r="941" ht="12" customHeight="1" x14ac:dyDescent="0.25"/>
    <row r="942" ht="12" customHeight="1" x14ac:dyDescent="0.25"/>
    <row r="943" ht="12" customHeight="1" x14ac:dyDescent="0.25"/>
    <row r="944" ht="12" customHeight="1" x14ac:dyDescent="0.25"/>
    <row r="945" ht="12" customHeight="1" x14ac:dyDescent="0.25"/>
    <row r="946" ht="12" customHeight="1" x14ac:dyDescent="0.25"/>
    <row r="947" ht="12" customHeight="1" x14ac:dyDescent="0.25"/>
    <row r="948" ht="12" customHeight="1" x14ac:dyDescent="0.25"/>
    <row r="949" ht="12" customHeight="1" x14ac:dyDescent="0.25"/>
    <row r="950" ht="12" customHeight="1" x14ac:dyDescent="0.25"/>
    <row r="951" ht="12" customHeight="1" x14ac:dyDescent="0.25"/>
    <row r="952" ht="12" customHeight="1" x14ac:dyDescent="0.25"/>
    <row r="953" ht="12" customHeight="1" x14ac:dyDescent="0.25"/>
    <row r="954" ht="12" customHeight="1" x14ac:dyDescent="0.25"/>
    <row r="955" ht="12" customHeight="1" x14ac:dyDescent="0.25"/>
    <row r="956" ht="12" customHeight="1" x14ac:dyDescent="0.25"/>
    <row r="957" ht="12" customHeight="1" x14ac:dyDescent="0.25"/>
    <row r="958" ht="12" customHeight="1" x14ac:dyDescent="0.25"/>
    <row r="959" ht="12" customHeight="1" x14ac:dyDescent="0.25"/>
    <row r="960" ht="12" customHeight="1" x14ac:dyDescent="0.25"/>
    <row r="961" ht="12" customHeight="1" x14ac:dyDescent="0.25"/>
    <row r="962" ht="12" customHeight="1" x14ac:dyDescent="0.25"/>
    <row r="963" ht="12" customHeight="1" x14ac:dyDescent="0.25"/>
    <row r="964" ht="12" customHeight="1" x14ac:dyDescent="0.25"/>
    <row r="965" ht="12" customHeight="1" x14ac:dyDescent="0.25"/>
    <row r="966" ht="12" customHeight="1" x14ac:dyDescent="0.25"/>
    <row r="967" ht="12" customHeight="1" x14ac:dyDescent="0.25"/>
    <row r="968" ht="12" customHeight="1" x14ac:dyDescent="0.25"/>
    <row r="969" ht="12" customHeight="1" x14ac:dyDescent="0.25"/>
    <row r="970" ht="12" customHeight="1" x14ac:dyDescent="0.25"/>
    <row r="971" ht="12" customHeight="1" x14ac:dyDescent="0.25"/>
    <row r="972" ht="12" customHeight="1" x14ac:dyDescent="0.25"/>
    <row r="973" ht="12" customHeight="1" x14ac:dyDescent="0.25"/>
    <row r="974" ht="12" customHeight="1" x14ac:dyDescent="0.25"/>
    <row r="975" ht="12" customHeight="1" x14ac:dyDescent="0.25"/>
    <row r="976" ht="12" customHeight="1" x14ac:dyDescent="0.25"/>
    <row r="977" ht="12" customHeight="1" x14ac:dyDescent="0.25"/>
    <row r="978" ht="12" customHeight="1" x14ac:dyDescent="0.25"/>
    <row r="979" ht="12" customHeight="1" x14ac:dyDescent="0.25"/>
    <row r="980" ht="12" customHeight="1" x14ac:dyDescent="0.25"/>
    <row r="981" ht="12" customHeight="1" x14ac:dyDescent="0.25"/>
    <row r="982" ht="12" customHeight="1" x14ac:dyDescent="0.25"/>
    <row r="983" ht="12" customHeight="1" x14ac:dyDescent="0.25"/>
    <row r="984" ht="12" customHeight="1" x14ac:dyDescent="0.25"/>
    <row r="985" ht="12" customHeight="1" x14ac:dyDescent="0.25"/>
    <row r="986" ht="12" customHeight="1" x14ac:dyDescent="0.25"/>
    <row r="987" ht="12" customHeight="1" x14ac:dyDescent="0.25"/>
    <row r="988" ht="12" customHeight="1" x14ac:dyDescent="0.25"/>
    <row r="989" ht="12" customHeight="1" x14ac:dyDescent="0.25"/>
    <row r="990" ht="12" customHeight="1" x14ac:dyDescent="0.25"/>
    <row r="991" ht="12" customHeight="1" x14ac:dyDescent="0.25"/>
    <row r="992" ht="12" customHeight="1" x14ac:dyDescent="0.25"/>
    <row r="993" ht="12" customHeight="1" x14ac:dyDescent="0.25"/>
    <row r="994" ht="12" customHeight="1" x14ac:dyDescent="0.25"/>
    <row r="995" ht="12" customHeight="1" x14ac:dyDescent="0.25"/>
    <row r="996" ht="12" customHeight="1" x14ac:dyDescent="0.25"/>
    <row r="997" ht="12" customHeight="1" x14ac:dyDescent="0.25"/>
    <row r="998" ht="12" customHeight="1" x14ac:dyDescent="0.25"/>
    <row r="999" ht="12" customHeight="1" x14ac:dyDescent="0.25"/>
    <row r="1000" ht="12" customHeight="1" x14ac:dyDescent="0.25"/>
  </sheetData>
  <mergeCells count="2">
    <mergeCell ref="D2:H2"/>
    <mergeCell ref="D3:H3"/>
  </mergeCells>
  <pageMargins left="0.7" right="0.7" top="0.75" bottom="0.75" header="0" footer="0"/>
  <pageSetup orientation="landscape"/>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J1000"/>
  <sheetViews>
    <sheetView workbookViewId="0"/>
  </sheetViews>
  <sheetFormatPr baseColWidth="10" defaultColWidth="12.6328125" defaultRowHeight="15" customHeight="1" x14ac:dyDescent="0.25"/>
  <cols>
    <col min="1" max="1" width="12.08984375" customWidth="1"/>
    <col min="2" max="26" width="10.6328125" customWidth="1"/>
  </cols>
  <sheetData>
    <row r="1" spans="1:10" ht="12" customHeight="1" x14ac:dyDescent="0.25">
      <c r="A1" s="24" t="s">
        <v>39</v>
      </c>
      <c r="B1" s="25">
        <v>4</v>
      </c>
      <c r="C1" s="23"/>
      <c r="D1" s="23"/>
      <c r="E1" s="23"/>
      <c r="F1" s="23"/>
      <c r="G1" s="23"/>
      <c r="H1" s="23"/>
      <c r="I1" s="23"/>
      <c r="J1" s="23"/>
    </row>
    <row r="2" spans="1:10" ht="12" customHeight="1" x14ac:dyDescent="0.25">
      <c r="A2" s="26" t="s">
        <v>40</v>
      </c>
      <c r="B2" s="26">
        <v>1.24</v>
      </c>
      <c r="C2" s="23"/>
      <c r="D2" s="23"/>
      <c r="E2" s="23"/>
      <c r="F2" s="23"/>
      <c r="G2" s="23"/>
      <c r="H2" s="23"/>
      <c r="I2" s="23"/>
      <c r="J2" s="23"/>
    </row>
    <row r="3" spans="1:10" ht="12" customHeight="1" x14ac:dyDescent="0.25">
      <c r="A3" s="27" t="s">
        <v>62</v>
      </c>
      <c r="B3" s="27">
        <v>23</v>
      </c>
      <c r="C3" s="23"/>
      <c r="D3" s="23"/>
      <c r="E3" s="23"/>
      <c r="F3" s="23"/>
      <c r="G3" s="23"/>
      <c r="H3" s="23"/>
      <c r="I3" s="23"/>
      <c r="J3" s="23"/>
    </row>
    <row r="4" spans="1:10" ht="12" customHeight="1" x14ac:dyDescent="0.25">
      <c r="A4" s="27" t="s">
        <v>41</v>
      </c>
      <c r="B4" s="28">
        <f>B2/B3+B5</f>
        <v>0.13391304347826088</v>
      </c>
      <c r="C4" s="23"/>
      <c r="D4" s="23"/>
      <c r="E4" s="23"/>
      <c r="F4" s="23"/>
      <c r="G4" s="23"/>
      <c r="H4" s="23"/>
      <c r="I4" s="23"/>
      <c r="J4" s="23"/>
    </row>
    <row r="5" spans="1:10" ht="12" customHeight="1" x14ac:dyDescent="0.25">
      <c r="A5" s="27" t="s">
        <v>42</v>
      </c>
      <c r="B5" s="28">
        <v>0.08</v>
      </c>
      <c r="C5" s="23"/>
      <c r="D5" s="23"/>
      <c r="E5" s="23"/>
      <c r="F5" s="23"/>
      <c r="G5" s="23"/>
      <c r="H5" s="23"/>
      <c r="I5" s="23"/>
      <c r="J5" s="23"/>
    </row>
    <row r="6" spans="1:10" ht="12" customHeight="1" x14ac:dyDescent="0.25">
      <c r="A6" s="29" t="s">
        <v>63</v>
      </c>
      <c r="B6" s="30">
        <f>B4*B3-B2+B3</f>
        <v>24.84</v>
      </c>
      <c r="C6" s="23"/>
      <c r="D6" s="23"/>
      <c r="E6" s="23"/>
      <c r="F6" s="23"/>
      <c r="G6" s="23"/>
      <c r="H6" s="23"/>
      <c r="I6" s="23"/>
      <c r="J6" s="23"/>
    </row>
    <row r="7" spans="1:10" ht="12" customHeight="1" x14ac:dyDescent="0.25">
      <c r="A7" s="29" t="s">
        <v>64</v>
      </c>
      <c r="B7" s="51">
        <f>B2/B3</f>
        <v>5.3913043478260869E-2</v>
      </c>
      <c r="C7" s="23"/>
      <c r="D7" s="23"/>
      <c r="E7" s="23"/>
      <c r="F7" s="23"/>
      <c r="G7" s="23"/>
      <c r="H7" s="23"/>
      <c r="I7" s="23"/>
      <c r="J7" s="23"/>
    </row>
    <row r="8" spans="1:10" ht="12" customHeight="1" x14ac:dyDescent="0.25">
      <c r="A8" s="29" t="s">
        <v>65</v>
      </c>
      <c r="B8" s="51">
        <f>(B6-B3)/B3</f>
        <v>7.9999999999999988E-2</v>
      </c>
      <c r="C8" s="23"/>
      <c r="D8" s="23"/>
      <c r="E8" s="23"/>
      <c r="F8" s="23"/>
      <c r="G8" s="23"/>
      <c r="H8" s="23"/>
      <c r="I8" s="23"/>
      <c r="J8" s="23"/>
    </row>
    <row r="9" spans="1:10" ht="12" customHeight="1" x14ac:dyDescent="0.25">
      <c r="A9" s="23"/>
      <c r="B9" s="23"/>
      <c r="C9" s="23"/>
      <c r="D9" s="23"/>
      <c r="E9" s="23"/>
      <c r="F9" s="23"/>
      <c r="G9" s="23"/>
      <c r="H9" s="23"/>
      <c r="I9" s="23"/>
      <c r="J9" s="23"/>
    </row>
    <row r="10" spans="1:10" ht="12" customHeight="1" x14ac:dyDescent="0.25"/>
    <row r="11" spans="1:10" ht="12" customHeight="1" x14ac:dyDescent="0.25"/>
    <row r="12" spans="1:10" ht="12" customHeight="1" x14ac:dyDescent="0.25"/>
    <row r="13" spans="1:10" ht="12" customHeight="1" x14ac:dyDescent="0.25"/>
    <row r="14" spans="1:10" ht="12" customHeight="1" x14ac:dyDescent="0.25"/>
    <row r="15" spans="1:10" ht="12" customHeight="1" x14ac:dyDescent="0.25"/>
    <row r="16" spans="1:10" ht="12" customHeight="1" x14ac:dyDescent="0.25"/>
    <row r="17" ht="12" customHeight="1" x14ac:dyDescent="0.25"/>
    <row r="18" ht="12" customHeight="1" x14ac:dyDescent="0.25"/>
    <row r="19" ht="12" customHeight="1" x14ac:dyDescent="0.25"/>
    <row r="20" ht="12" customHeight="1" x14ac:dyDescent="0.25"/>
    <row r="21" ht="12" customHeight="1" x14ac:dyDescent="0.25"/>
    <row r="22" ht="12" customHeight="1" x14ac:dyDescent="0.25"/>
    <row r="23" ht="12" customHeight="1" x14ac:dyDescent="0.25"/>
    <row r="24" ht="12" customHeight="1" x14ac:dyDescent="0.25"/>
    <row r="25" ht="12" customHeight="1" x14ac:dyDescent="0.25"/>
    <row r="26" ht="12" customHeight="1" x14ac:dyDescent="0.25"/>
    <row r="27" ht="12" customHeight="1" x14ac:dyDescent="0.25"/>
    <row r="28" ht="12" customHeight="1" x14ac:dyDescent="0.25"/>
    <row r="29" ht="12" customHeight="1" x14ac:dyDescent="0.25"/>
    <row r="30" ht="12" customHeight="1" x14ac:dyDescent="0.25"/>
    <row r="31" ht="12" customHeight="1" x14ac:dyDescent="0.25"/>
    <row r="32" ht="12" customHeight="1" x14ac:dyDescent="0.25"/>
    <row r="33" ht="12" customHeight="1" x14ac:dyDescent="0.25"/>
    <row r="34" ht="12" customHeight="1" x14ac:dyDescent="0.25"/>
    <row r="35" ht="12" customHeight="1" x14ac:dyDescent="0.25"/>
    <row r="36" ht="12" customHeight="1" x14ac:dyDescent="0.25"/>
    <row r="37" ht="12" customHeight="1" x14ac:dyDescent="0.25"/>
    <row r="38" ht="12" customHeight="1" x14ac:dyDescent="0.25"/>
    <row r="39" ht="12" customHeight="1" x14ac:dyDescent="0.25"/>
    <row r="40" ht="12" customHeight="1" x14ac:dyDescent="0.25"/>
    <row r="41" ht="12" customHeight="1" x14ac:dyDescent="0.25"/>
    <row r="42" ht="12" customHeight="1" x14ac:dyDescent="0.25"/>
    <row r="43" ht="12" customHeight="1" x14ac:dyDescent="0.25"/>
    <row r="44" ht="12" customHeight="1" x14ac:dyDescent="0.25"/>
    <row r="45" ht="12" customHeight="1" x14ac:dyDescent="0.25"/>
    <row r="46" ht="12" customHeight="1" x14ac:dyDescent="0.25"/>
    <row r="47" ht="12" customHeight="1" x14ac:dyDescent="0.25"/>
    <row r="48" ht="12" customHeight="1" x14ac:dyDescent="0.25"/>
    <row r="49" ht="12" customHeight="1" x14ac:dyDescent="0.25"/>
    <row r="50" ht="12" customHeight="1" x14ac:dyDescent="0.25"/>
    <row r="51" ht="12" customHeight="1" x14ac:dyDescent="0.25"/>
    <row r="52" ht="12" customHeight="1" x14ac:dyDescent="0.25"/>
    <row r="53" ht="12" customHeight="1" x14ac:dyDescent="0.25"/>
    <row r="54" ht="12" customHeight="1" x14ac:dyDescent="0.25"/>
    <row r="55" ht="12" customHeight="1" x14ac:dyDescent="0.25"/>
    <row r="56" ht="12" customHeight="1" x14ac:dyDescent="0.25"/>
    <row r="57" ht="12" customHeight="1" x14ac:dyDescent="0.25"/>
    <row r="58" ht="12" customHeight="1" x14ac:dyDescent="0.25"/>
    <row r="59" ht="12" customHeight="1" x14ac:dyDescent="0.25"/>
    <row r="60" ht="12" customHeight="1" x14ac:dyDescent="0.25"/>
    <row r="61" ht="12" customHeight="1" x14ac:dyDescent="0.25"/>
    <row r="62" ht="12" customHeight="1" x14ac:dyDescent="0.25"/>
    <row r="63" ht="12" customHeight="1" x14ac:dyDescent="0.25"/>
    <row r="64" ht="12" customHeight="1" x14ac:dyDescent="0.25"/>
    <row r="65" ht="12" customHeight="1" x14ac:dyDescent="0.25"/>
    <row r="66" ht="12" customHeight="1" x14ac:dyDescent="0.25"/>
    <row r="67" ht="12" customHeight="1" x14ac:dyDescent="0.25"/>
    <row r="68" ht="12" customHeight="1" x14ac:dyDescent="0.25"/>
    <row r="69" ht="12" customHeight="1" x14ac:dyDescent="0.25"/>
    <row r="70" ht="12" customHeight="1" x14ac:dyDescent="0.25"/>
    <row r="71" ht="12" customHeight="1" x14ac:dyDescent="0.25"/>
    <row r="72" ht="12" customHeight="1" x14ac:dyDescent="0.25"/>
    <row r="73" ht="12" customHeight="1" x14ac:dyDescent="0.25"/>
    <row r="74" ht="12" customHeight="1" x14ac:dyDescent="0.25"/>
    <row r="75" ht="12" customHeight="1" x14ac:dyDescent="0.25"/>
    <row r="76" ht="12" customHeight="1" x14ac:dyDescent="0.25"/>
    <row r="77" ht="12" customHeight="1" x14ac:dyDescent="0.25"/>
    <row r="78" ht="12" customHeight="1" x14ac:dyDescent="0.25"/>
    <row r="79" ht="12" customHeight="1" x14ac:dyDescent="0.25"/>
    <row r="80" ht="12" customHeight="1" x14ac:dyDescent="0.25"/>
    <row r="81" ht="12" customHeight="1" x14ac:dyDescent="0.25"/>
    <row r="82" ht="12" customHeight="1" x14ac:dyDescent="0.25"/>
    <row r="83" ht="12" customHeight="1" x14ac:dyDescent="0.25"/>
    <row r="84" ht="12" customHeight="1" x14ac:dyDescent="0.25"/>
    <row r="85" ht="12" customHeight="1" x14ac:dyDescent="0.25"/>
    <row r="86" ht="12" customHeight="1" x14ac:dyDescent="0.25"/>
    <row r="87" ht="12" customHeight="1" x14ac:dyDescent="0.25"/>
    <row r="88" ht="12" customHeight="1" x14ac:dyDescent="0.25"/>
    <row r="89" ht="12" customHeight="1" x14ac:dyDescent="0.25"/>
    <row r="90" ht="12" customHeight="1" x14ac:dyDescent="0.25"/>
    <row r="91" ht="12" customHeight="1" x14ac:dyDescent="0.25"/>
    <row r="92" ht="12" customHeight="1" x14ac:dyDescent="0.25"/>
    <row r="93" ht="12" customHeight="1" x14ac:dyDescent="0.25"/>
    <row r="94" ht="12" customHeight="1" x14ac:dyDescent="0.25"/>
    <row r="95" ht="12" customHeight="1" x14ac:dyDescent="0.25"/>
    <row r="96" ht="12" customHeight="1" x14ac:dyDescent="0.25"/>
    <row r="97" ht="12" customHeight="1" x14ac:dyDescent="0.25"/>
    <row r="98" ht="12" customHeight="1" x14ac:dyDescent="0.25"/>
    <row r="99" ht="12" customHeight="1" x14ac:dyDescent="0.25"/>
    <row r="100" ht="12" customHeight="1" x14ac:dyDescent="0.25"/>
    <row r="101" ht="12" customHeight="1" x14ac:dyDescent="0.25"/>
    <row r="102" ht="12" customHeight="1" x14ac:dyDescent="0.25"/>
    <row r="103" ht="12" customHeight="1" x14ac:dyDescent="0.25"/>
    <row r="104" ht="12" customHeight="1" x14ac:dyDescent="0.25"/>
    <row r="105" ht="12" customHeight="1" x14ac:dyDescent="0.25"/>
    <row r="106" ht="12" customHeight="1" x14ac:dyDescent="0.25"/>
    <row r="107" ht="12" customHeight="1" x14ac:dyDescent="0.25"/>
    <row r="108" ht="12" customHeight="1" x14ac:dyDescent="0.25"/>
    <row r="109" ht="12" customHeight="1" x14ac:dyDescent="0.25"/>
    <row r="110" ht="12" customHeight="1" x14ac:dyDescent="0.25"/>
    <row r="111" ht="12" customHeight="1" x14ac:dyDescent="0.25"/>
    <row r="112" ht="12" customHeight="1" x14ac:dyDescent="0.25"/>
    <row r="113" ht="12" customHeight="1" x14ac:dyDescent="0.25"/>
    <row r="114" ht="12" customHeight="1" x14ac:dyDescent="0.25"/>
    <row r="115" ht="12" customHeight="1" x14ac:dyDescent="0.25"/>
    <row r="116" ht="12" customHeight="1" x14ac:dyDescent="0.25"/>
    <row r="117" ht="12" customHeight="1" x14ac:dyDescent="0.25"/>
    <row r="118" ht="12" customHeight="1" x14ac:dyDescent="0.25"/>
    <row r="119" ht="12" customHeight="1" x14ac:dyDescent="0.25"/>
    <row r="120" ht="12" customHeight="1" x14ac:dyDescent="0.25"/>
    <row r="121" ht="12" customHeight="1" x14ac:dyDescent="0.25"/>
    <row r="122" ht="12" customHeight="1" x14ac:dyDescent="0.25"/>
    <row r="123" ht="12" customHeight="1" x14ac:dyDescent="0.25"/>
    <row r="124" ht="12" customHeight="1" x14ac:dyDescent="0.25"/>
    <row r="125" ht="12" customHeight="1" x14ac:dyDescent="0.25"/>
    <row r="126" ht="12" customHeight="1" x14ac:dyDescent="0.25"/>
    <row r="127" ht="12" customHeight="1" x14ac:dyDescent="0.25"/>
    <row r="128" ht="12" customHeight="1" x14ac:dyDescent="0.25"/>
    <row r="129" ht="12" customHeight="1" x14ac:dyDescent="0.25"/>
    <row r="130" ht="12" customHeight="1" x14ac:dyDescent="0.25"/>
    <row r="131" ht="12" customHeight="1" x14ac:dyDescent="0.25"/>
    <row r="132" ht="12" customHeight="1" x14ac:dyDescent="0.25"/>
    <row r="133" ht="12" customHeight="1" x14ac:dyDescent="0.25"/>
    <row r="134" ht="12" customHeight="1" x14ac:dyDescent="0.25"/>
    <row r="135" ht="12" customHeight="1" x14ac:dyDescent="0.25"/>
    <row r="136" ht="12" customHeight="1" x14ac:dyDescent="0.25"/>
    <row r="137" ht="12" customHeight="1" x14ac:dyDescent="0.25"/>
    <row r="138" ht="12" customHeight="1" x14ac:dyDescent="0.25"/>
    <row r="139" ht="12" customHeight="1" x14ac:dyDescent="0.25"/>
    <row r="140" ht="12" customHeight="1" x14ac:dyDescent="0.25"/>
    <row r="141" ht="12" customHeight="1" x14ac:dyDescent="0.25"/>
    <row r="142" ht="12" customHeight="1" x14ac:dyDescent="0.25"/>
    <row r="143" ht="12" customHeight="1" x14ac:dyDescent="0.25"/>
    <row r="144" ht="12" customHeight="1" x14ac:dyDescent="0.25"/>
    <row r="145" ht="12" customHeight="1" x14ac:dyDescent="0.25"/>
    <row r="146" ht="12" customHeight="1" x14ac:dyDescent="0.25"/>
    <row r="147" ht="12" customHeight="1" x14ac:dyDescent="0.25"/>
    <row r="148" ht="12" customHeight="1" x14ac:dyDescent="0.25"/>
    <row r="149" ht="12" customHeight="1" x14ac:dyDescent="0.25"/>
    <row r="150" ht="12" customHeight="1" x14ac:dyDescent="0.25"/>
    <row r="151" ht="12" customHeight="1" x14ac:dyDescent="0.25"/>
    <row r="152" ht="12" customHeight="1" x14ac:dyDescent="0.25"/>
    <row r="153" ht="12" customHeight="1" x14ac:dyDescent="0.25"/>
    <row r="154" ht="12" customHeight="1" x14ac:dyDescent="0.25"/>
    <row r="155" ht="12" customHeight="1" x14ac:dyDescent="0.25"/>
    <row r="156" ht="12" customHeight="1" x14ac:dyDescent="0.25"/>
    <row r="157" ht="12" customHeight="1" x14ac:dyDescent="0.25"/>
    <row r="158" ht="12" customHeight="1" x14ac:dyDescent="0.25"/>
    <row r="159" ht="12" customHeight="1" x14ac:dyDescent="0.25"/>
    <row r="160" ht="12" customHeight="1" x14ac:dyDescent="0.25"/>
    <row r="161" ht="12" customHeight="1" x14ac:dyDescent="0.25"/>
    <row r="162" ht="12" customHeight="1" x14ac:dyDescent="0.25"/>
    <row r="163" ht="12" customHeight="1" x14ac:dyDescent="0.25"/>
    <row r="164" ht="12" customHeight="1" x14ac:dyDescent="0.25"/>
    <row r="165" ht="12" customHeight="1" x14ac:dyDescent="0.25"/>
    <row r="166" ht="12" customHeight="1" x14ac:dyDescent="0.25"/>
    <row r="167" ht="12" customHeight="1" x14ac:dyDescent="0.25"/>
    <row r="168" ht="12" customHeight="1" x14ac:dyDescent="0.25"/>
    <row r="169" ht="12" customHeight="1" x14ac:dyDescent="0.25"/>
    <row r="170" ht="12" customHeight="1" x14ac:dyDescent="0.25"/>
    <row r="171" ht="12" customHeight="1" x14ac:dyDescent="0.25"/>
    <row r="172" ht="12" customHeight="1" x14ac:dyDescent="0.25"/>
    <row r="173" ht="12" customHeight="1" x14ac:dyDescent="0.25"/>
    <row r="174" ht="12" customHeight="1" x14ac:dyDescent="0.25"/>
    <row r="175" ht="12" customHeight="1" x14ac:dyDescent="0.25"/>
    <row r="176" ht="12" customHeight="1" x14ac:dyDescent="0.25"/>
    <row r="177" ht="12" customHeight="1" x14ac:dyDescent="0.25"/>
    <row r="178" ht="12" customHeight="1" x14ac:dyDescent="0.25"/>
    <row r="179" ht="12" customHeight="1" x14ac:dyDescent="0.25"/>
    <row r="180" ht="12" customHeight="1" x14ac:dyDescent="0.25"/>
    <row r="181" ht="12" customHeight="1" x14ac:dyDescent="0.25"/>
    <row r="182" ht="12" customHeight="1" x14ac:dyDescent="0.25"/>
    <row r="183" ht="12" customHeight="1" x14ac:dyDescent="0.25"/>
    <row r="184" ht="12" customHeight="1" x14ac:dyDescent="0.25"/>
    <row r="185" ht="12" customHeight="1" x14ac:dyDescent="0.25"/>
    <row r="186" ht="12" customHeight="1" x14ac:dyDescent="0.25"/>
    <row r="187" ht="12" customHeight="1" x14ac:dyDescent="0.25"/>
    <row r="188" ht="12" customHeight="1" x14ac:dyDescent="0.25"/>
    <row r="189" ht="12" customHeight="1" x14ac:dyDescent="0.25"/>
    <row r="190" ht="12" customHeight="1" x14ac:dyDescent="0.25"/>
    <row r="191" ht="12" customHeight="1" x14ac:dyDescent="0.25"/>
    <row r="192" ht="12" customHeight="1" x14ac:dyDescent="0.25"/>
    <row r="193" ht="12" customHeight="1" x14ac:dyDescent="0.25"/>
    <row r="194" ht="12" customHeight="1" x14ac:dyDescent="0.25"/>
    <row r="195" ht="12" customHeight="1" x14ac:dyDescent="0.25"/>
    <row r="196" ht="12" customHeight="1" x14ac:dyDescent="0.25"/>
    <row r="197" ht="12" customHeight="1" x14ac:dyDescent="0.25"/>
    <row r="198" ht="12" customHeight="1" x14ac:dyDescent="0.25"/>
    <row r="199" ht="12" customHeight="1" x14ac:dyDescent="0.25"/>
    <row r="200" ht="12" customHeight="1" x14ac:dyDescent="0.25"/>
    <row r="201" ht="12" customHeight="1" x14ac:dyDescent="0.25"/>
    <row r="202" ht="12" customHeight="1" x14ac:dyDescent="0.25"/>
    <row r="203" ht="12" customHeight="1" x14ac:dyDescent="0.25"/>
    <row r="204" ht="12" customHeight="1" x14ac:dyDescent="0.25"/>
    <row r="205" ht="12" customHeight="1" x14ac:dyDescent="0.25"/>
    <row r="206" ht="12" customHeight="1" x14ac:dyDescent="0.25"/>
    <row r="207" ht="12" customHeight="1" x14ac:dyDescent="0.25"/>
    <row r="208" ht="12" customHeight="1" x14ac:dyDescent="0.25"/>
    <row r="209" ht="12" customHeight="1" x14ac:dyDescent="0.25"/>
    <row r="210" ht="12" customHeight="1" x14ac:dyDescent="0.25"/>
    <row r="211" ht="12" customHeight="1" x14ac:dyDescent="0.25"/>
    <row r="212" ht="12" customHeight="1" x14ac:dyDescent="0.25"/>
    <row r="213" ht="12" customHeight="1" x14ac:dyDescent="0.25"/>
    <row r="214" ht="12" customHeight="1" x14ac:dyDescent="0.25"/>
    <row r="215" ht="12" customHeight="1" x14ac:dyDescent="0.25"/>
    <row r="216" ht="12" customHeight="1" x14ac:dyDescent="0.25"/>
    <row r="217" ht="12" customHeight="1" x14ac:dyDescent="0.25"/>
    <row r="218" ht="12" customHeight="1" x14ac:dyDescent="0.25"/>
    <row r="219" ht="12" customHeight="1" x14ac:dyDescent="0.25"/>
    <row r="220" ht="12" customHeight="1" x14ac:dyDescent="0.25"/>
    <row r="221" ht="12" customHeight="1" x14ac:dyDescent="0.25"/>
    <row r="222" ht="12" customHeight="1" x14ac:dyDescent="0.25"/>
    <row r="223" ht="12" customHeight="1" x14ac:dyDescent="0.25"/>
    <row r="224" ht="12" customHeight="1" x14ac:dyDescent="0.25"/>
    <row r="225" ht="12" customHeight="1" x14ac:dyDescent="0.25"/>
    <row r="226" ht="12" customHeight="1" x14ac:dyDescent="0.25"/>
    <row r="227" ht="12" customHeight="1" x14ac:dyDescent="0.25"/>
    <row r="228" ht="12" customHeight="1" x14ac:dyDescent="0.25"/>
    <row r="229" ht="12" customHeight="1" x14ac:dyDescent="0.25"/>
    <row r="230" ht="12" customHeight="1" x14ac:dyDescent="0.25"/>
    <row r="231" ht="12" customHeight="1" x14ac:dyDescent="0.25"/>
    <row r="232" ht="12" customHeight="1" x14ac:dyDescent="0.25"/>
    <row r="233" ht="12" customHeight="1" x14ac:dyDescent="0.25"/>
    <row r="234" ht="12" customHeight="1" x14ac:dyDescent="0.25"/>
    <row r="235" ht="12" customHeight="1" x14ac:dyDescent="0.25"/>
    <row r="236" ht="12" customHeight="1" x14ac:dyDescent="0.25"/>
    <row r="237" ht="12" customHeight="1" x14ac:dyDescent="0.25"/>
    <row r="238" ht="12" customHeight="1" x14ac:dyDescent="0.25"/>
    <row r="239" ht="12" customHeight="1" x14ac:dyDescent="0.25"/>
    <row r="240" ht="12" customHeight="1" x14ac:dyDescent="0.25"/>
    <row r="241" ht="12" customHeight="1" x14ac:dyDescent="0.25"/>
    <row r="242" ht="12" customHeight="1" x14ac:dyDescent="0.25"/>
    <row r="243" ht="12" customHeight="1" x14ac:dyDescent="0.25"/>
    <row r="244" ht="12" customHeight="1" x14ac:dyDescent="0.25"/>
    <row r="245" ht="12" customHeight="1" x14ac:dyDescent="0.25"/>
    <row r="246" ht="12" customHeight="1" x14ac:dyDescent="0.25"/>
    <row r="247" ht="12" customHeight="1" x14ac:dyDescent="0.25"/>
    <row r="248" ht="12" customHeight="1" x14ac:dyDescent="0.25"/>
    <row r="249" ht="12" customHeight="1" x14ac:dyDescent="0.25"/>
    <row r="250" ht="12" customHeight="1" x14ac:dyDescent="0.25"/>
    <row r="251" ht="12" customHeight="1" x14ac:dyDescent="0.25"/>
    <row r="252" ht="12" customHeight="1" x14ac:dyDescent="0.25"/>
    <row r="253" ht="12" customHeight="1" x14ac:dyDescent="0.25"/>
    <row r="254" ht="12" customHeight="1" x14ac:dyDescent="0.25"/>
    <row r="255" ht="12" customHeight="1" x14ac:dyDescent="0.25"/>
    <row r="256" ht="12" customHeight="1" x14ac:dyDescent="0.25"/>
    <row r="257" ht="12" customHeight="1" x14ac:dyDescent="0.25"/>
    <row r="258" ht="12" customHeight="1" x14ac:dyDescent="0.25"/>
    <row r="259" ht="12" customHeight="1" x14ac:dyDescent="0.25"/>
    <row r="260" ht="12" customHeight="1" x14ac:dyDescent="0.25"/>
    <row r="261" ht="12" customHeight="1" x14ac:dyDescent="0.25"/>
    <row r="262" ht="12" customHeight="1" x14ac:dyDescent="0.25"/>
    <row r="263" ht="12" customHeight="1" x14ac:dyDescent="0.25"/>
    <row r="264" ht="12" customHeight="1" x14ac:dyDescent="0.25"/>
    <row r="265" ht="12" customHeight="1" x14ac:dyDescent="0.25"/>
    <row r="266" ht="12" customHeight="1" x14ac:dyDescent="0.25"/>
    <row r="267" ht="12" customHeight="1" x14ac:dyDescent="0.25"/>
    <row r="268" ht="12" customHeight="1" x14ac:dyDescent="0.25"/>
    <row r="269" ht="12" customHeight="1" x14ac:dyDescent="0.25"/>
    <row r="270" ht="12" customHeight="1" x14ac:dyDescent="0.25"/>
    <row r="271" ht="12" customHeight="1" x14ac:dyDescent="0.25"/>
    <row r="272" ht="12" customHeight="1" x14ac:dyDescent="0.25"/>
    <row r="273" ht="12" customHeight="1" x14ac:dyDescent="0.25"/>
    <row r="274" ht="12" customHeight="1" x14ac:dyDescent="0.25"/>
    <row r="275" ht="12" customHeight="1" x14ac:dyDescent="0.25"/>
    <row r="276" ht="12" customHeight="1" x14ac:dyDescent="0.25"/>
    <row r="277" ht="12" customHeight="1" x14ac:dyDescent="0.25"/>
    <row r="278" ht="12" customHeight="1" x14ac:dyDescent="0.25"/>
    <row r="279" ht="12" customHeight="1" x14ac:dyDescent="0.25"/>
    <row r="280" ht="12" customHeight="1" x14ac:dyDescent="0.25"/>
    <row r="281" ht="12" customHeight="1" x14ac:dyDescent="0.25"/>
    <row r="282" ht="12" customHeight="1" x14ac:dyDescent="0.25"/>
    <row r="283" ht="12" customHeight="1" x14ac:dyDescent="0.25"/>
    <row r="284" ht="12" customHeight="1" x14ac:dyDescent="0.25"/>
    <row r="285" ht="12" customHeight="1" x14ac:dyDescent="0.25"/>
    <row r="286" ht="12" customHeight="1" x14ac:dyDescent="0.25"/>
    <row r="287" ht="12" customHeight="1" x14ac:dyDescent="0.25"/>
    <row r="288" ht="12" customHeight="1" x14ac:dyDescent="0.25"/>
    <row r="289" ht="12" customHeight="1" x14ac:dyDescent="0.25"/>
    <row r="290" ht="12" customHeight="1" x14ac:dyDescent="0.25"/>
    <row r="291" ht="12" customHeight="1" x14ac:dyDescent="0.25"/>
    <row r="292" ht="12" customHeight="1" x14ac:dyDescent="0.25"/>
    <row r="293" ht="12" customHeight="1" x14ac:dyDescent="0.25"/>
    <row r="294" ht="12" customHeight="1" x14ac:dyDescent="0.25"/>
    <row r="295" ht="12" customHeight="1" x14ac:dyDescent="0.25"/>
    <row r="296" ht="12" customHeight="1" x14ac:dyDescent="0.25"/>
    <row r="297" ht="12" customHeight="1" x14ac:dyDescent="0.25"/>
    <row r="298" ht="12" customHeight="1" x14ac:dyDescent="0.25"/>
    <row r="299" ht="12" customHeight="1" x14ac:dyDescent="0.25"/>
    <row r="300" ht="12" customHeight="1" x14ac:dyDescent="0.25"/>
    <row r="301" ht="12" customHeight="1" x14ac:dyDescent="0.25"/>
    <row r="302" ht="12" customHeight="1" x14ac:dyDescent="0.25"/>
    <row r="303" ht="12" customHeight="1" x14ac:dyDescent="0.25"/>
    <row r="304" ht="12" customHeight="1" x14ac:dyDescent="0.25"/>
    <row r="305" ht="12" customHeight="1" x14ac:dyDescent="0.25"/>
    <row r="306" ht="12" customHeight="1" x14ac:dyDescent="0.25"/>
    <row r="307" ht="12" customHeight="1" x14ac:dyDescent="0.25"/>
    <row r="308" ht="12" customHeight="1" x14ac:dyDescent="0.25"/>
    <row r="309" ht="12" customHeight="1" x14ac:dyDescent="0.25"/>
    <row r="310" ht="12" customHeight="1" x14ac:dyDescent="0.25"/>
    <row r="311" ht="12" customHeight="1" x14ac:dyDescent="0.25"/>
    <row r="312" ht="12" customHeight="1" x14ac:dyDescent="0.25"/>
    <row r="313" ht="12" customHeight="1" x14ac:dyDescent="0.25"/>
    <row r="314" ht="12" customHeight="1" x14ac:dyDescent="0.25"/>
    <row r="315" ht="12" customHeight="1" x14ac:dyDescent="0.25"/>
    <row r="316" ht="12" customHeight="1" x14ac:dyDescent="0.25"/>
    <row r="317" ht="12" customHeight="1" x14ac:dyDescent="0.25"/>
    <row r="318" ht="12" customHeight="1" x14ac:dyDescent="0.25"/>
    <row r="319" ht="12" customHeight="1" x14ac:dyDescent="0.25"/>
    <row r="320" ht="12" customHeight="1" x14ac:dyDescent="0.25"/>
    <row r="321" ht="12" customHeight="1" x14ac:dyDescent="0.25"/>
    <row r="322" ht="12" customHeight="1" x14ac:dyDescent="0.25"/>
    <row r="323" ht="12" customHeight="1" x14ac:dyDescent="0.25"/>
    <row r="324" ht="12" customHeight="1" x14ac:dyDescent="0.25"/>
    <row r="325" ht="12" customHeight="1" x14ac:dyDescent="0.25"/>
    <row r="326" ht="12" customHeight="1" x14ac:dyDescent="0.25"/>
    <row r="327" ht="12" customHeight="1" x14ac:dyDescent="0.25"/>
    <row r="328" ht="12" customHeight="1" x14ac:dyDescent="0.25"/>
    <row r="329" ht="12" customHeight="1" x14ac:dyDescent="0.25"/>
    <row r="330" ht="12" customHeight="1" x14ac:dyDescent="0.25"/>
    <row r="331" ht="12" customHeight="1" x14ac:dyDescent="0.25"/>
    <row r="332" ht="12" customHeight="1" x14ac:dyDescent="0.25"/>
    <row r="333" ht="12" customHeight="1" x14ac:dyDescent="0.25"/>
    <row r="334" ht="12" customHeight="1" x14ac:dyDescent="0.25"/>
    <row r="335" ht="12" customHeight="1" x14ac:dyDescent="0.25"/>
    <row r="336" ht="12" customHeight="1" x14ac:dyDescent="0.25"/>
    <row r="337" ht="12" customHeight="1" x14ac:dyDescent="0.25"/>
    <row r="338" ht="12" customHeight="1" x14ac:dyDescent="0.25"/>
    <row r="339" ht="12" customHeight="1" x14ac:dyDescent="0.25"/>
    <row r="340" ht="12" customHeight="1" x14ac:dyDescent="0.25"/>
    <row r="341" ht="12" customHeight="1" x14ac:dyDescent="0.25"/>
    <row r="342" ht="12" customHeight="1" x14ac:dyDescent="0.25"/>
    <row r="343" ht="12" customHeight="1" x14ac:dyDescent="0.25"/>
    <row r="344" ht="12" customHeight="1" x14ac:dyDescent="0.25"/>
    <row r="345" ht="12" customHeight="1" x14ac:dyDescent="0.25"/>
    <row r="346" ht="12" customHeight="1" x14ac:dyDescent="0.25"/>
    <row r="347" ht="12" customHeight="1" x14ac:dyDescent="0.25"/>
    <row r="348" ht="12" customHeight="1" x14ac:dyDescent="0.25"/>
    <row r="349" ht="12" customHeight="1" x14ac:dyDescent="0.25"/>
    <row r="350" ht="12" customHeight="1" x14ac:dyDescent="0.25"/>
    <row r="351" ht="12" customHeight="1" x14ac:dyDescent="0.25"/>
    <row r="352" ht="12" customHeight="1" x14ac:dyDescent="0.25"/>
    <row r="353" ht="12" customHeight="1" x14ac:dyDescent="0.25"/>
    <row r="354" ht="12" customHeight="1" x14ac:dyDescent="0.25"/>
    <row r="355" ht="12" customHeight="1" x14ac:dyDescent="0.25"/>
    <row r="356" ht="12" customHeight="1" x14ac:dyDescent="0.25"/>
    <row r="357" ht="12" customHeight="1" x14ac:dyDescent="0.25"/>
    <row r="358" ht="12" customHeight="1" x14ac:dyDescent="0.25"/>
    <row r="359" ht="12" customHeight="1" x14ac:dyDescent="0.25"/>
    <row r="360" ht="12" customHeight="1" x14ac:dyDescent="0.25"/>
    <row r="361" ht="12" customHeight="1" x14ac:dyDescent="0.25"/>
    <row r="362" ht="12" customHeight="1" x14ac:dyDescent="0.25"/>
    <row r="363" ht="12" customHeight="1" x14ac:dyDescent="0.25"/>
    <row r="364" ht="12" customHeight="1" x14ac:dyDescent="0.25"/>
    <row r="365" ht="12" customHeight="1" x14ac:dyDescent="0.25"/>
    <row r="366" ht="12" customHeight="1" x14ac:dyDescent="0.25"/>
    <row r="367" ht="12" customHeight="1" x14ac:dyDescent="0.25"/>
    <row r="368" ht="12" customHeight="1" x14ac:dyDescent="0.25"/>
    <row r="369" ht="12" customHeight="1" x14ac:dyDescent="0.25"/>
    <row r="370" ht="12" customHeight="1" x14ac:dyDescent="0.25"/>
    <row r="371" ht="12" customHeight="1" x14ac:dyDescent="0.25"/>
    <row r="372" ht="12" customHeight="1" x14ac:dyDescent="0.25"/>
    <row r="373" ht="12" customHeight="1" x14ac:dyDescent="0.25"/>
    <row r="374" ht="12" customHeight="1" x14ac:dyDescent="0.25"/>
    <row r="375" ht="12" customHeight="1" x14ac:dyDescent="0.25"/>
    <row r="376" ht="12" customHeight="1" x14ac:dyDescent="0.25"/>
    <row r="377" ht="12" customHeight="1" x14ac:dyDescent="0.25"/>
    <row r="378" ht="12" customHeight="1" x14ac:dyDescent="0.25"/>
    <row r="379" ht="12" customHeight="1" x14ac:dyDescent="0.25"/>
    <row r="380" ht="12" customHeight="1" x14ac:dyDescent="0.25"/>
    <row r="381" ht="12" customHeight="1" x14ac:dyDescent="0.25"/>
    <row r="382" ht="12" customHeight="1" x14ac:dyDescent="0.25"/>
    <row r="383" ht="12" customHeight="1" x14ac:dyDescent="0.25"/>
    <row r="384" ht="12" customHeight="1" x14ac:dyDescent="0.25"/>
    <row r="385" ht="12" customHeight="1" x14ac:dyDescent="0.25"/>
    <row r="386" ht="12" customHeight="1" x14ac:dyDescent="0.25"/>
    <row r="387" ht="12" customHeight="1" x14ac:dyDescent="0.25"/>
    <row r="388" ht="12" customHeight="1" x14ac:dyDescent="0.25"/>
    <row r="389" ht="12" customHeight="1" x14ac:dyDescent="0.25"/>
    <row r="390" ht="12" customHeight="1" x14ac:dyDescent="0.25"/>
    <row r="391" ht="12" customHeight="1" x14ac:dyDescent="0.25"/>
    <row r="392" ht="12" customHeight="1" x14ac:dyDescent="0.25"/>
    <row r="393" ht="12" customHeight="1" x14ac:dyDescent="0.25"/>
    <row r="394" ht="12" customHeight="1" x14ac:dyDescent="0.25"/>
    <row r="395" ht="12" customHeight="1" x14ac:dyDescent="0.25"/>
    <row r="396" ht="12" customHeight="1" x14ac:dyDescent="0.25"/>
    <row r="397" ht="12" customHeight="1" x14ac:dyDescent="0.25"/>
    <row r="398" ht="12" customHeight="1" x14ac:dyDescent="0.25"/>
    <row r="399" ht="12" customHeight="1" x14ac:dyDescent="0.25"/>
    <row r="400" ht="12" customHeight="1" x14ac:dyDescent="0.25"/>
    <row r="401" ht="12" customHeight="1" x14ac:dyDescent="0.25"/>
    <row r="402" ht="12" customHeight="1" x14ac:dyDescent="0.25"/>
    <row r="403" ht="12" customHeight="1" x14ac:dyDescent="0.25"/>
    <row r="404" ht="12" customHeight="1" x14ac:dyDescent="0.25"/>
    <row r="405" ht="12" customHeight="1" x14ac:dyDescent="0.25"/>
    <row r="406" ht="12" customHeight="1" x14ac:dyDescent="0.25"/>
    <row r="407" ht="12" customHeight="1" x14ac:dyDescent="0.25"/>
    <row r="408" ht="12" customHeight="1" x14ac:dyDescent="0.25"/>
    <row r="409" ht="12" customHeight="1" x14ac:dyDescent="0.25"/>
    <row r="410" ht="12" customHeight="1" x14ac:dyDescent="0.25"/>
    <row r="411" ht="12" customHeight="1" x14ac:dyDescent="0.25"/>
    <row r="412" ht="12" customHeight="1" x14ac:dyDescent="0.25"/>
    <row r="413" ht="12" customHeight="1" x14ac:dyDescent="0.25"/>
    <row r="414" ht="12" customHeight="1" x14ac:dyDescent="0.25"/>
    <row r="415" ht="12" customHeight="1" x14ac:dyDescent="0.25"/>
    <row r="416" ht="12" customHeight="1" x14ac:dyDescent="0.25"/>
    <row r="417" ht="12" customHeight="1" x14ac:dyDescent="0.25"/>
    <row r="418" ht="12" customHeight="1" x14ac:dyDescent="0.25"/>
    <row r="419" ht="12" customHeight="1" x14ac:dyDescent="0.25"/>
    <row r="420" ht="12" customHeight="1" x14ac:dyDescent="0.25"/>
    <row r="421" ht="12" customHeight="1" x14ac:dyDescent="0.25"/>
    <row r="422" ht="12" customHeight="1" x14ac:dyDescent="0.25"/>
    <row r="423" ht="12" customHeight="1" x14ac:dyDescent="0.25"/>
    <row r="424" ht="12" customHeight="1" x14ac:dyDescent="0.25"/>
    <row r="425" ht="12" customHeight="1" x14ac:dyDescent="0.25"/>
    <row r="426" ht="12" customHeight="1" x14ac:dyDescent="0.25"/>
    <row r="427" ht="12" customHeight="1" x14ac:dyDescent="0.25"/>
    <row r="428" ht="12" customHeight="1" x14ac:dyDescent="0.25"/>
    <row r="429" ht="12" customHeight="1" x14ac:dyDescent="0.25"/>
    <row r="430" ht="12" customHeight="1" x14ac:dyDescent="0.25"/>
    <row r="431" ht="12" customHeight="1" x14ac:dyDescent="0.25"/>
    <row r="432" ht="12" customHeight="1" x14ac:dyDescent="0.25"/>
    <row r="433" ht="12" customHeight="1" x14ac:dyDescent="0.25"/>
    <row r="434" ht="12" customHeight="1" x14ac:dyDescent="0.25"/>
    <row r="435" ht="12" customHeight="1" x14ac:dyDescent="0.25"/>
    <row r="436" ht="12" customHeight="1" x14ac:dyDescent="0.25"/>
    <row r="437" ht="12" customHeight="1" x14ac:dyDescent="0.25"/>
    <row r="438" ht="12" customHeight="1" x14ac:dyDescent="0.25"/>
    <row r="439" ht="12" customHeight="1" x14ac:dyDescent="0.25"/>
    <row r="440" ht="12" customHeight="1" x14ac:dyDescent="0.25"/>
    <row r="441" ht="12" customHeight="1" x14ac:dyDescent="0.25"/>
    <row r="442" ht="12" customHeight="1" x14ac:dyDescent="0.25"/>
    <row r="443" ht="12" customHeight="1" x14ac:dyDescent="0.25"/>
    <row r="444" ht="12" customHeight="1" x14ac:dyDescent="0.25"/>
    <row r="445" ht="12" customHeight="1" x14ac:dyDescent="0.25"/>
    <row r="446" ht="12" customHeight="1" x14ac:dyDescent="0.25"/>
    <row r="447" ht="12" customHeight="1" x14ac:dyDescent="0.25"/>
    <row r="448" ht="12" customHeight="1" x14ac:dyDescent="0.25"/>
    <row r="449" ht="12" customHeight="1" x14ac:dyDescent="0.25"/>
    <row r="450" ht="12" customHeight="1" x14ac:dyDescent="0.25"/>
    <row r="451" ht="12" customHeight="1" x14ac:dyDescent="0.25"/>
    <row r="452" ht="12" customHeight="1" x14ac:dyDescent="0.25"/>
    <row r="453" ht="12" customHeight="1" x14ac:dyDescent="0.25"/>
    <row r="454" ht="12" customHeight="1" x14ac:dyDescent="0.25"/>
    <row r="455" ht="12" customHeight="1" x14ac:dyDescent="0.25"/>
    <row r="456" ht="12" customHeight="1" x14ac:dyDescent="0.25"/>
    <row r="457" ht="12" customHeight="1" x14ac:dyDescent="0.25"/>
    <row r="458" ht="12" customHeight="1" x14ac:dyDescent="0.25"/>
    <row r="459" ht="12" customHeight="1" x14ac:dyDescent="0.25"/>
    <row r="460" ht="12" customHeight="1" x14ac:dyDescent="0.25"/>
    <row r="461" ht="12" customHeight="1" x14ac:dyDescent="0.25"/>
    <row r="462" ht="12" customHeight="1" x14ac:dyDescent="0.25"/>
    <row r="463" ht="12" customHeight="1" x14ac:dyDescent="0.25"/>
    <row r="464" ht="12" customHeight="1" x14ac:dyDescent="0.25"/>
    <row r="465" ht="12" customHeight="1" x14ac:dyDescent="0.25"/>
    <row r="466" ht="12" customHeight="1" x14ac:dyDescent="0.25"/>
    <row r="467" ht="12" customHeight="1" x14ac:dyDescent="0.25"/>
    <row r="468" ht="12" customHeight="1" x14ac:dyDescent="0.25"/>
    <row r="469" ht="12" customHeight="1" x14ac:dyDescent="0.25"/>
    <row r="470" ht="12" customHeight="1" x14ac:dyDescent="0.25"/>
    <row r="471" ht="12" customHeight="1" x14ac:dyDescent="0.25"/>
    <row r="472" ht="12" customHeight="1" x14ac:dyDescent="0.25"/>
    <row r="473" ht="12" customHeight="1" x14ac:dyDescent="0.25"/>
    <row r="474" ht="12" customHeight="1" x14ac:dyDescent="0.25"/>
    <row r="475" ht="12" customHeight="1" x14ac:dyDescent="0.25"/>
    <row r="476" ht="12" customHeight="1" x14ac:dyDescent="0.25"/>
    <row r="477" ht="12" customHeight="1" x14ac:dyDescent="0.25"/>
    <row r="478" ht="12" customHeight="1" x14ac:dyDescent="0.25"/>
    <row r="479" ht="12" customHeight="1" x14ac:dyDescent="0.25"/>
    <row r="480" ht="12" customHeight="1" x14ac:dyDescent="0.25"/>
    <row r="481" ht="12" customHeight="1" x14ac:dyDescent="0.25"/>
    <row r="482" ht="12" customHeight="1" x14ac:dyDescent="0.25"/>
    <row r="483" ht="12" customHeight="1" x14ac:dyDescent="0.25"/>
    <row r="484" ht="12" customHeight="1" x14ac:dyDescent="0.25"/>
    <row r="485" ht="12" customHeight="1" x14ac:dyDescent="0.25"/>
    <row r="486" ht="12" customHeight="1" x14ac:dyDescent="0.25"/>
    <row r="487" ht="12" customHeight="1" x14ac:dyDescent="0.25"/>
    <row r="488" ht="12" customHeight="1" x14ac:dyDescent="0.25"/>
    <row r="489" ht="12" customHeight="1" x14ac:dyDescent="0.25"/>
    <row r="490" ht="12" customHeight="1" x14ac:dyDescent="0.25"/>
    <row r="491" ht="12" customHeight="1" x14ac:dyDescent="0.25"/>
    <row r="492" ht="12" customHeight="1" x14ac:dyDescent="0.25"/>
    <row r="493" ht="12" customHeight="1" x14ac:dyDescent="0.25"/>
    <row r="494" ht="12" customHeight="1" x14ac:dyDescent="0.25"/>
    <row r="495" ht="12" customHeight="1" x14ac:dyDescent="0.25"/>
    <row r="496" ht="12" customHeight="1" x14ac:dyDescent="0.25"/>
    <row r="497" ht="12" customHeight="1" x14ac:dyDescent="0.25"/>
    <row r="498" ht="12" customHeight="1" x14ac:dyDescent="0.25"/>
    <row r="499" ht="12" customHeight="1" x14ac:dyDescent="0.25"/>
    <row r="500" ht="12" customHeight="1" x14ac:dyDescent="0.25"/>
    <row r="501" ht="12" customHeight="1" x14ac:dyDescent="0.25"/>
    <row r="502" ht="12" customHeight="1" x14ac:dyDescent="0.25"/>
    <row r="503" ht="12" customHeight="1" x14ac:dyDescent="0.25"/>
    <row r="504" ht="12" customHeight="1" x14ac:dyDescent="0.25"/>
    <row r="505" ht="12" customHeight="1" x14ac:dyDescent="0.25"/>
    <row r="506" ht="12" customHeight="1" x14ac:dyDescent="0.25"/>
    <row r="507" ht="12" customHeight="1" x14ac:dyDescent="0.25"/>
    <row r="508" ht="12" customHeight="1" x14ac:dyDescent="0.25"/>
    <row r="509" ht="12" customHeight="1" x14ac:dyDescent="0.25"/>
    <row r="510" ht="12" customHeight="1" x14ac:dyDescent="0.25"/>
    <row r="511" ht="12" customHeight="1" x14ac:dyDescent="0.25"/>
    <row r="512" ht="12" customHeight="1" x14ac:dyDescent="0.25"/>
    <row r="513" ht="12" customHeight="1" x14ac:dyDescent="0.25"/>
    <row r="514" ht="12" customHeight="1" x14ac:dyDescent="0.25"/>
    <row r="515" ht="12" customHeight="1" x14ac:dyDescent="0.25"/>
    <row r="516" ht="12" customHeight="1" x14ac:dyDescent="0.25"/>
    <row r="517" ht="12" customHeight="1" x14ac:dyDescent="0.25"/>
    <row r="518" ht="12" customHeight="1" x14ac:dyDescent="0.25"/>
    <row r="519" ht="12" customHeight="1" x14ac:dyDescent="0.25"/>
    <row r="520" ht="12" customHeight="1" x14ac:dyDescent="0.25"/>
    <row r="521" ht="12" customHeight="1" x14ac:dyDescent="0.25"/>
    <row r="522" ht="12" customHeight="1" x14ac:dyDescent="0.25"/>
    <row r="523" ht="12" customHeight="1" x14ac:dyDescent="0.25"/>
    <row r="524" ht="12" customHeight="1" x14ac:dyDescent="0.25"/>
    <row r="525" ht="12" customHeight="1" x14ac:dyDescent="0.25"/>
    <row r="526" ht="12" customHeight="1" x14ac:dyDescent="0.25"/>
    <row r="527" ht="12" customHeight="1" x14ac:dyDescent="0.25"/>
    <row r="528" ht="12" customHeight="1" x14ac:dyDescent="0.25"/>
    <row r="529" ht="12" customHeight="1" x14ac:dyDescent="0.25"/>
    <row r="530" ht="12" customHeight="1" x14ac:dyDescent="0.25"/>
    <row r="531" ht="12" customHeight="1" x14ac:dyDescent="0.25"/>
    <row r="532" ht="12" customHeight="1" x14ac:dyDescent="0.25"/>
    <row r="533" ht="12" customHeight="1" x14ac:dyDescent="0.25"/>
    <row r="534" ht="12" customHeight="1" x14ac:dyDescent="0.25"/>
    <row r="535" ht="12" customHeight="1" x14ac:dyDescent="0.25"/>
    <row r="536" ht="12" customHeight="1" x14ac:dyDescent="0.25"/>
    <row r="537" ht="12" customHeight="1" x14ac:dyDescent="0.25"/>
    <row r="538" ht="12" customHeight="1" x14ac:dyDescent="0.25"/>
    <row r="539" ht="12" customHeight="1" x14ac:dyDescent="0.25"/>
    <row r="540" ht="12" customHeight="1" x14ac:dyDescent="0.25"/>
    <row r="541" ht="12" customHeight="1" x14ac:dyDescent="0.25"/>
    <row r="542" ht="12" customHeight="1" x14ac:dyDescent="0.25"/>
    <row r="543" ht="12" customHeight="1" x14ac:dyDescent="0.25"/>
    <row r="544" ht="12" customHeight="1" x14ac:dyDescent="0.25"/>
    <row r="545" ht="12" customHeight="1" x14ac:dyDescent="0.25"/>
    <row r="546" ht="12" customHeight="1" x14ac:dyDescent="0.25"/>
    <row r="547" ht="12" customHeight="1" x14ac:dyDescent="0.25"/>
    <row r="548" ht="12" customHeight="1" x14ac:dyDescent="0.25"/>
    <row r="549" ht="12" customHeight="1" x14ac:dyDescent="0.25"/>
    <row r="550" ht="12" customHeight="1" x14ac:dyDescent="0.25"/>
    <row r="551" ht="12" customHeight="1" x14ac:dyDescent="0.25"/>
    <row r="552" ht="12" customHeight="1" x14ac:dyDescent="0.25"/>
    <row r="553" ht="12" customHeight="1" x14ac:dyDescent="0.25"/>
    <row r="554" ht="12" customHeight="1" x14ac:dyDescent="0.25"/>
    <row r="555" ht="12" customHeight="1" x14ac:dyDescent="0.25"/>
    <row r="556" ht="12" customHeight="1" x14ac:dyDescent="0.25"/>
    <row r="557" ht="12" customHeight="1" x14ac:dyDescent="0.25"/>
    <row r="558" ht="12" customHeight="1" x14ac:dyDescent="0.25"/>
    <row r="559" ht="12" customHeight="1" x14ac:dyDescent="0.25"/>
    <row r="560" ht="12" customHeight="1" x14ac:dyDescent="0.25"/>
    <row r="561" ht="12" customHeight="1" x14ac:dyDescent="0.25"/>
    <row r="562" ht="12" customHeight="1" x14ac:dyDescent="0.25"/>
    <row r="563" ht="12" customHeight="1" x14ac:dyDescent="0.25"/>
    <row r="564" ht="12" customHeight="1" x14ac:dyDescent="0.25"/>
    <row r="565" ht="12" customHeight="1" x14ac:dyDescent="0.25"/>
    <row r="566" ht="12" customHeight="1" x14ac:dyDescent="0.25"/>
    <row r="567" ht="12" customHeight="1" x14ac:dyDescent="0.25"/>
    <row r="568" ht="12" customHeight="1" x14ac:dyDescent="0.25"/>
    <row r="569" ht="12" customHeight="1" x14ac:dyDescent="0.25"/>
    <row r="570" ht="12" customHeight="1" x14ac:dyDescent="0.25"/>
    <row r="571" ht="12" customHeight="1" x14ac:dyDescent="0.25"/>
    <row r="572" ht="12" customHeight="1" x14ac:dyDescent="0.25"/>
    <row r="573" ht="12" customHeight="1" x14ac:dyDescent="0.25"/>
    <row r="574" ht="12" customHeight="1" x14ac:dyDescent="0.25"/>
    <row r="575" ht="12" customHeight="1" x14ac:dyDescent="0.25"/>
    <row r="576" ht="12" customHeight="1" x14ac:dyDescent="0.25"/>
    <row r="577" ht="12" customHeight="1" x14ac:dyDescent="0.25"/>
    <row r="578" ht="12" customHeight="1" x14ac:dyDescent="0.25"/>
    <row r="579" ht="12" customHeight="1" x14ac:dyDescent="0.25"/>
    <row r="580" ht="12" customHeight="1" x14ac:dyDescent="0.25"/>
    <row r="581" ht="12" customHeight="1" x14ac:dyDescent="0.25"/>
    <row r="582" ht="12" customHeight="1" x14ac:dyDescent="0.25"/>
    <row r="583" ht="12" customHeight="1" x14ac:dyDescent="0.25"/>
    <row r="584" ht="12" customHeight="1" x14ac:dyDescent="0.25"/>
    <row r="585" ht="12" customHeight="1" x14ac:dyDescent="0.25"/>
    <row r="586" ht="12" customHeight="1" x14ac:dyDescent="0.25"/>
    <row r="587" ht="12" customHeight="1" x14ac:dyDescent="0.25"/>
    <row r="588" ht="12" customHeight="1" x14ac:dyDescent="0.25"/>
    <row r="589" ht="12" customHeight="1" x14ac:dyDescent="0.25"/>
    <row r="590" ht="12" customHeight="1" x14ac:dyDescent="0.25"/>
    <row r="591" ht="12" customHeight="1" x14ac:dyDescent="0.25"/>
    <row r="592" ht="12" customHeight="1" x14ac:dyDescent="0.25"/>
    <row r="593" ht="12" customHeight="1" x14ac:dyDescent="0.25"/>
    <row r="594" ht="12" customHeight="1" x14ac:dyDescent="0.25"/>
    <row r="595" ht="12" customHeight="1" x14ac:dyDescent="0.25"/>
    <row r="596" ht="12" customHeight="1" x14ac:dyDescent="0.25"/>
    <row r="597" ht="12" customHeight="1" x14ac:dyDescent="0.25"/>
    <row r="598" ht="12" customHeight="1" x14ac:dyDescent="0.25"/>
    <row r="599" ht="12" customHeight="1" x14ac:dyDescent="0.25"/>
    <row r="600" ht="12" customHeight="1" x14ac:dyDescent="0.25"/>
    <row r="601" ht="12" customHeight="1" x14ac:dyDescent="0.25"/>
    <row r="602" ht="12" customHeight="1" x14ac:dyDescent="0.25"/>
    <row r="603" ht="12" customHeight="1" x14ac:dyDescent="0.25"/>
    <row r="604" ht="12" customHeight="1" x14ac:dyDescent="0.25"/>
    <row r="605" ht="12" customHeight="1" x14ac:dyDescent="0.25"/>
    <row r="606" ht="12" customHeight="1" x14ac:dyDescent="0.25"/>
    <row r="607" ht="12" customHeight="1" x14ac:dyDescent="0.25"/>
    <row r="608" ht="12" customHeight="1" x14ac:dyDescent="0.25"/>
    <row r="609" ht="12" customHeight="1" x14ac:dyDescent="0.25"/>
    <row r="610" ht="12" customHeight="1" x14ac:dyDescent="0.25"/>
    <row r="611" ht="12" customHeight="1" x14ac:dyDescent="0.25"/>
    <row r="612" ht="12" customHeight="1" x14ac:dyDescent="0.25"/>
    <row r="613" ht="12" customHeight="1" x14ac:dyDescent="0.25"/>
    <row r="614" ht="12" customHeight="1" x14ac:dyDescent="0.25"/>
    <row r="615" ht="12" customHeight="1" x14ac:dyDescent="0.25"/>
    <row r="616" ht="12" customHeight="1" x14ac:dyDescent="0.25"/>
    <row r="617" ht="12" customHeight="1" x14ac:dyDescent="0.25"/>
    <row r="618" ht="12" customHeight="1" x14ac:dyDescent="0.25"/>
    <row r="619" ht="12" customHeight="1" x14ac:dyDescent="0.25"/>
    <row r="620" ht="12" customHeight="1" x14ac:dyDescent="0.25"/>
    <row r="621" ht="12" customHeight="1" x14ac:dyDescent="0.25"/>
    <row r="622" ht="12" customHeight="1" x14ac:dyDescent="0.25"/>
    <row r="623" ht="12" customHeight="1" x14ac:dyDescent="0.25"/>
    <row r="624" ht="12" customHeight="1" x14ac:dyDescent="0.25"/>
    <row r="625" ht="12" customHeight="1" x14ac:dyDescent="0.25"/>
    <row r="626" ht="12" customHeight="1" x14ac:dyDescent="0.25"/>
    <row r="627" ht="12" customHeight="1" x14ac:dyDescent="0.25"/>
    <row r="628" ht="12" customHeight="1" x14ac:dyDescent="0.25"/>
    <row r="629" ht="12" customHeight="1" x14ac:dyDescent="0.25"/>
    <row r="630" ht="12" customHeight="1" x14ac:dyDescent="0.25"/>
    <row r="631" ht="12" customHeight="1" x14ac:dyDescent="0.25"/>
    <row r="632" ht="12" customHeight="1" x14ac:dyDescent="0.25"/>
    <row r="633" ht="12" customHeight="1" x14ac:dyDescent="0.25"/>
    <row r="634" ht="12" customHeight="1" x14ac:dyDescent="0.25"/>
    <row r="635" ht="12" customHeight="1" x14ac:dyDescent="0.25"/>
    <row r="636" ht="12" customHeight="1" x14ac:dyDescent="0.25"/>
    <row r="637" ht="12" customHeight="1" x14ac:dyDescent="0.25"/>
    <row r="638" ht="12" customHeight="1" x14ac:dyDescent="0.25"/>
    <row r="639" ht="12" customHeight="1" x14ac:dyDescent="0.25"/>
    <row r="640" ht="12" customHeight="1" x14ac:dyDescent="0.25"/>
    <row r="641" ht="12" customHeight="1" x14ac:dyDescent="0.25"/>
    <row r="642" ht="12" customHeight="1" x14ac:dyDescent="0.25"/>
    <row r="643" ht="12" customHeight="1" x14ac:dyDescent="0.25"/>
    <row r="644" ht="12" customHeight="1" x14ac:dyDescent="0.25"/>
    <row r="645" ht="12" customHeight="1" x14ac:dyDescent="0.25"/>
    <row r="646" ht="12" customHeight="1" x14ac:dyDescent="0.25"/>
    <row r="647" ht="12" customHeight="1" x14ac:dyDescent="0.25"/>
    <row r="648" ht="12" customHeight="1" x14ac:dyDescent="0.25"/>
    <row r="649" ht="12" customHeight="1" x14ac:dyDescent="0.25"/>
    <row r="650" ht="12" customHeight="1" x14ac:dyDescent="0.25"/>
    <row r="651" ht="12" customHeight="1" x14ac:dyDescent="0.25"/>
    <row r="652" ht="12" customHeight="1" x14ac:dyDescent="0.25"/>
    <row r="653" ht="12" customHeight="1" x14ac:dyDescent="0.25"/>
    <row r="654" ht="12" customHeight="1" x14ac:dyDescent="0.25"/>
    <row r="655" ht="12" customHeight="1" x14ac:dyDescent="0.25"/>
    <row r="656" ht="12" customHeight="1" x14ac:dyDescent="0.25"/>
    <row r="657" ht="12" customHeight="1" x14ac:dyDescent="0.25"/>
    <row r="658" ht="12" customHeight="1" x14ac:dyDescent="0.25"/>
    <row r="659" ht="12" customHeight="1" x14ac:dyDescent="0.25"/>
    <row r="660" ht="12" customHeight="1" x14ac:dyDescent="0.25"/>
    <row r="661" ht="12" customHeight="1" x14ac:dyDescent="0.25"/>
    <row r="662" ht="12" customHeight="1" x14ac:dyDescent="0.25"/>
    <row r="663" ht="12" customHeight="1" x14ac:dyDescent="0.25"/>
    <row r="664" ht="12" customHeight="1" x14ac:dyDescent="0.25"/>
    <row r="665" ht="12" customHeight="1" x14ac:dyDescent="0.25"/>
    <row r="666" ht="12" customHeight="1" x14ac:dyDescent="0.25"/>
    <row r="667" ht="12" customHeight="1" x14ac:dyDescent="0.25"/>
    <row r="668" ht="12" customHeight="1" x14ac:dyDescent="0.25"/>
    <row r="669" ht="12" customHeight="1" x14ac:dyDescent="0.25"/>
    <row r="670" ht="12" customHeight="1" x14ac:dyDescent="0.25"/>
    <row r="671" ht="12" customHeight="1" x14ac:dyDescent="0.25"/>
    <row r="672" ht="12" customHeight="1" x14ac:dyDescent="0.25"/>
    <row r="673" ht="12" customHeight="1" x14ac:dyDescent="0.25"/>
    <row r="674" ht="12" customHeight="1" x14ac:dyDescent="0.25"/>
    <row r="675" ht="12" customHeight="1" x14ac:dyDescent="0.25"/>
    <row r="676" ht="12" customHeight="1" x14ac:dyDescent="0.25"/>
    <row r="677" ht="12" customHeight="1" x14ac:dyDescent="0.25"/>
    <row r="678" ht="12" customHeight="1" x14ac:dyDescent="0.25"/>
    <row r="679" ht="12" customHeight="1" x14ac:dyDescent="0.25"/>
    <row r="680" ht="12" customHeight="1" x14ac:dyDescent="0.25"/>
    <row r="681" ht="12" customHeight="1" x14ac:dyDescent="0.25"/>
    <row r="682" ht="12" customHeight="1" x14ac:dyDescent="0.25"/>
    <row r="683" ht="12" customHeight="1" x14ac:dyDescent="0.25"/>
    <row r="684" ht="12" customHeight="1" x14ac:dyDescent="0.25"/>
    <row r="685" ht="12" customHeight="1" x14ac:dyDescent="0.25"/>
    <row r="686" ht="12" customHeight="1" x14ac:dyDescent="0.25"/>
    <row r="687" ht="12" customHeight="1" x14ac:dyDescent="0.25"/>
    <row r="688" ht="12" customHeight="1" x14ac:dyDescent="0.25"/>
    <row r="689" ht="12" customHeight="1" x14ac:dyDescent="0.25"/>
    <row r="690" ht="12" customHeight="1" x14ac:dyDescent="0.25"/>
    <row r="691" ht="12" customHeight="1" x14ac:dyDescent="0.25"/>
    <row r="692" ht="12" customHeight="1" x14ac:dyDescent="0.25"/>
    <row r="693" ht="12" customHeight="1" x14ac:dyDescent="0.25"/>
    <row r="694" ht="12" customHeight="1" x14ac:dyDescent="0.25"/>
    <row r="695" ht="12" customHeight="1" x14ac:dyDescent="0.25"/>
    <row r="696" ht="12" customHeight="1" x14ac:dyDescent="0.25"/>
    <row r="697" ht="12" customHeight="1" x14ac:dyDescent="0.25"/>
    <row r="698" ht="12" customHeight="1" x14ac:dyDescent="0.25"/>
    <row r="699" ht="12" customHeight="1" x14ac:dyDescent="0.25"/>
    <row r="700" ht="12" customHeight="1" x14ac:dyDescent="0.25"/>
    <row r="701" ht="12" customHeight="1" x14ac:dyDescent="0.25"/>
    <row r="702" ht="12" customHeight="1" x14ac:dyDescent="0.25"/>
    <row r="703" ht="12" customHeight="1" x14ac:dyDescent="0.25"/>
    <row r="704" ht="12" customHeight="1" x14ac:dyDescent="0.25"/>
    <row r="705" ht="12" customHeight="1" x14ac:dyDescent="0.25"/>
    <row r="706" ht="12" customHeight="1" x14ac:dyDescent="0.25"/>
    <row r="707" ht="12" customHeight="1" x14ac:dyDescent="0.25"/>
    <row r="708" ht="12" customHeight="1" x14ac:dyDescent="0.25"/>
    <row r="709" ht="12" customHeight="1" x14ac:dyDescent="0.25"/>
    <row r="710" ht="12" customHeight="1" x14ac:dyDescent="0.25"/>
    <row r="711" ht="12" customHeight="1" x14ac:dyDescent="0.25"/>
    <row r="712" ht="12" customHeight="1" x14ac:dyDescent="0.25"/>
    <row r="713" ht="12" customHeight="1" x14ac:dyDescent="0.25"/>
    <row r="714" ht="12" customHeight="1" x14ac:dyDescent="0.25"/>
    <row r="715" ht="12" customHeight="1" x14ac:dyDescent="0.25"/>
    <row r="716" ht="12" customHeight="1" x14ac:dyDescent="0.25"/>
    <row r="717" ht="12" customHeight="1" x14ac:dyDescent="0.25"/>
    <row r="718" ht="12" customHeight="1" x14ac:dyDescent="0.25"/>
    <row r="719" ht="12" customHeight="1" x14ac:dyDescent="0.25"/>
    <row r="720" ht="12" customHeight="1" x14ac:dyDescent="0.25"/>
    <row r="721" ht="12" customHeight="1" x14ac:dyDescent="0.25"/>
    <row r="722" ht="12" customHeight="1" x14ac:dyDescent="0.25"/>
    <row r="723" ht="12" customHeight="1" x14ac:dyDescent="0.25"/>
    <row r="724" ht="12" customHeight="1" x14ac:dyDescent="0.25"/>
    <row r="725" ht="12" customHeight="1" x14ac:dyDescent="0.25"/>
    <row r="726" ht="12" customHeight="1" x14ac:dyDescent="0.25"/>
    <row r="727" ht="12" customHeight="1" x14ac:dyDescent="0.25"/>
    <row r="728" ht="12" customHeight="1" x14ac:dyDescent="0.25"/>
    <row r="729" ht="12" customHeight="1" x14ac:dyDescent="0.25"/>
    <row r="730" ht="12" customHeight="1" x14ac:dyDescent="0.25"/>
    <row r="731" ht="12" customHeight="1" x14ac:dyDescent="0.25"/>
    <row r="732" ht="12" customHeight="1" x14ac:dyDescent="0.25"/>
    <row r="733" ht="12" customHeight="1" x14ac:dyDescent="0.25"/>
    <row r="734" ht="12" customHeight="1" x14ac:dyDescent="0.25"/>
    <row r="735" ht="12" customHeight="1" x14ac:dyDescent="0.25"/>
    <row r="736" ht="12" customHeight="1" x14ac:dyDescent="0.25"/>
    <row r="737" ht="12" customHeight="1" x14ac:dyDescent="0.25"/>
    <row r="738" ht="12" customHeight="1" x14ac:dyDescent="0.25"/>
    <row r="739" ht="12" customHeight="1" x14ac:dyDescent="0.25"/>
    <row r="740" ht="12" customHeight="1" x14ac:dyDescent="0.25"/>
    <row r="741" ht="12" customHeight="1" x14ac:dyDescent="0.25"/>
    <row r="742" ht="12" customHeight="1" x14ac:dyDescent="0.25"/>
    <row r="743" ht="12" customHeight="1" x14ac:dyDescent="0.25"/>
    <row r="744" ht="12" customHeight="1" x14ac:dyDescent="0.25"/>
    <row r="745" ht="12" customHeight="1" x14ac:dyDescent="0.25"/>
    <row r="746" ht="12" customHeight="1" x14ac:dyDescent="0.25"/>
    <row r="747" ht="12" customHeight="1" x14ac:dyDescent="0.25"/>
    <row r="748" ht="12" customHeight="1" x14ac:dyDescent="0.25"/>
    <row r="749" ht="12" customHeight="1" x14ac:dyDescent="0.25"/>
    <row r="750" ht="12" customHeight="1" x14ac:dyDescent="0.25"/>
    <row r="751" ht="12" customHeight="1" x14ac:dyDescent="0.25"/>
    <row r="752" ht="12" customHeight="1" x14ac:dyDescent="0.25"/>
    <row r="753" ht="12" customHeight="1" x14ac:dyDescent="0.25"/>
    <row r="754" ht="12" customHeight="1" x14ac:dyDescent="0.25"/>
    <row r="755" ht="12" customHeight="1" x14ac:dyDescent="0.25"/>
    <row r="756" ht="12" customHeight="1" x14ac:dyDescent="0.25"/>
    <row r="757" ht="12" customHeight="1" x14ac:dyDescent="0.25"/>
    <row r="758" ht="12" customHeight="1" x14ac:dyDescent="0.25"/>
    <row r="759" ht="12" customHeight="1" x14ac:dyDescent="0.25"/>
    <row r="760" ht="12" customHeight="1" x14ac:dyDescent="0.25"/>
    <row r="761" ht="12" customHeight="1" x14ac:dyDescent="0.25"/>
    <row r="762" ht="12" customHeight="1" x14ac:dyDescent="0.25"/>
    <row r="763" ht="12" customHeight="1" x14ac:dyDescent="0.25"/>
    <row r="764" ht="12" customHeight="1" x14ac:dyDescent="0.25"/>
    <row r="765" ht="12" customHeight="1" x14ac:dyDescent="0.25"/>
    <row r="766" ht="12" customHeight="1" x14ac:dyDescent="0.25"/>
    <row r="767" ht="12" customHeight="1" x14ac:dyDescent="0.25"/>
    <row r="768" ht="12" customHeight="1" x14ac:dyDescent="0.25"/>
    <row r="769" ht="12" customHeight="1" x14ac:dyDescent="0.25"/>
    <row r="770" ht="12" customHeight="1" x14ac:dyDescent="0.25"/>
    <row r="771" ht="12" customHeight="1" x14ac:dyDescent="0.25"/>
    <row r="772" ht="12" customHeight="1" x14ac:dyDescent="0.25"/>
    <row r="773" ht="12" customHeight="1" x14ac:dyDescent="0.25"/>
    <row r="774" ht="12" customHeight="1" x14ac:dyDescent="0.25"/>
    <row r="775" ht="12" customHeight="1" x14ac:dyDescent="0.25"/>
    <row r="776" ht="12" customHeight="1" x14ac:dyDescent="0.25"/>
    <row r="777" ht="12" customHeight="1" x14ac:dyDescent="0.25"/>
    <row r="778" ht="12" customHeight="1" x14ac:dyDescent="0.25"/>
    <row r="779" ht="12" customHeight="1" x14ac:dyDescent="0.25"/>
    <row r="780" ht="12" customHeight="1" x14ac:dyDescent="0.25"/>
    <row r="781" ht="12" customHeight="1" x14ac:dyDescent="0.25"/>
    <row r="782" ht="12" customHeight="1" x14ac:dyDescent="0.25"/>
    <row r="783" ht="12" customHeight="1" x14ac:dyDescent="0.25"/>
    <row r="784" ht="12" customHeight="1" x14ac:dyDescent="0.25"/>
    <row r="785" ht="12" customHeight="1" x14ac:dyDescent="0.25"/>
    <row r="786" ht="12" customHeight="1" x14ac:dyDescent="0.25"/>
    <row r="787" ht="12" customHeight="1" x14ac:dyDescent="0.25"/>
    <row r="788" ht="12" customHeight="1" x14ac:dyDescent="0.25"/>
    <row r="789" ht="12" customHeight="1" x14ac:dyDescent="0.25"/>
    <row r="790" ht="12" customHeight="1" x14ac:dyDescent="0.25"/>
    <row r="791" ht="12" customHeight="1" x14ac:dyDescent="0.25"/>
    <row r="792" ht="12" customHeight="1" x14ac:dyDescent="0.25"/>
    <row r="793" ht="12" customHeight="1" x14ac:dyDescent="0.25"/>
    <row r="794" ht="12" customHeight="1" x14ac:dyDescent="0.25"/>
    <row r="795" ht="12" customHeight="1" x14ac:dyDescent="0.25"/>
    <row r="796" ht="12" customHeight="1" x14ac:dyDescent="0.25"/>
    <row r="797" ht="12" customHeight="1" x14ac:dyDescent="0.25"/>
    <row r="798" ht="12" customHeight="1" x14ac:dyDescent="0.25"/>
    <row r="799" ht="12" customHeight="1" x14ac:dyDescent="0.25"/>
    <row r="800" ht="12" customHeight="1" x14ac:dyDescent="0.25"/>
    <row r="801" ht="12" customHeight="1" x14ac:dyDescent="0.25"/>
    <row r="802" ht="12" customHeight="1" x14ac:dyDescent="0.25"/>
    <row r="803" ht="12" customHeight="1" x14ac:dyDescent="0.25"/>
    <row r="804" ht="12" customHeight="1" x14ac:dyDescent="0.25"/>
    <row r="805" ht="12" customHeight="1" x14ac:dyDescent="0.25"/>
    <row r="806" ht="12" customHeight="1" x14ac:dyDescent="0.25"/>
    <row r="807" ht="12" customHeight="1" x14ac:dyDescent="0.25"/>
    <row r="808" ht="12" customHeight="1" x14ac:dyDescent="0.25"/>
    <row r="809" ht="12" customHeight="1" x14ac:dyDescent="0.25"/>
    <row r="810" ht="12" customHeight="1" x14ac:dyDescent="0.25"/>
    <row r="811" ht="12" customHeight="1" x14ac:dyDescent="0.25"/>
    <row r="812" ht="12" customHeight="1" x14ac:dyDescent="0.25"/>
    <row r="813" ht="12" customHeight="1" x14ac:dyDescent="0.25"/>
    <row r="814" ht="12" customHeight="1" x14ac:dyDescent="0.25"/>
    <row r="815" ht="12" customHeight="1" x14ac:dyDescent="0.25"/>
    <row r="816" ht="12" customHeight="1" x14ac:dyDescent="0.25"/>
    <row r="817" ht="12" customHeight="1" x14ac:dyDescent="0.25"/>
    <row r="818" ht="12" customHeight="1" x14ac:dyDescent="0.25"/>
    <row r="819" ht="12" customHeight="1" x14ac:dyDescent="0.25"/>
    <row r="820" ht="12" customHeight="1" x14ac:dyDescent="0.25"/>
    <row r="821" ht="12" customHeight="1" x14ac:dyDescent="0.25"/>
    <row r="822" ht="12" customHeight="1" x14ac:dyDescent="0.25"/>
    <row r="823" ht="12" customHeight="1" x14ac:dyDescent="0.25"/>
    <row r="824" ht="12" customHeight="1" x14ac:dyDescent="0.25"/>
    <row r="825" ht="12" customHeight="1" x14ac:dyDescent="0.25"/>
    <row r="826" ht="12" customHeight="1" x14ac:dyDescent="0.25"/>
    <row r="827" ht="12" customHeight="1" x14ac:dyDescent="0.25"/>
    <row r="828" ht="12" customHeight="1" x14ac:dyDescent="0.25"/>
    <row r="829" ht="12" customHeight="1" x14ac:dyDescent="0.25"/>
    <row r="830" ht="12" customHeight="1" x14ac:dyDescent="0.25"/>
    <row r="831" ht="12" customHeight="1" x14ac:dyDescent="0.25"/>
    <row r="832" ht="12" customHeight="1" x14ac:dyDescent="0.25"/>
    <row r="833" ht="12" customHeight="1" x14ac:dyDescent="0.25"/>
    <row r="834" ht="12" customHeight="1" x14ac:dyDescent="0.25"/>
    <row r="835" ht="12" customHeight="1" x14ac:dyDescent="0.25"/>
    <row r="836" ht="12" customHeight="1" x14ac:dyDescent="0.25"/>
    <row r="837" ht="12" customHeight="1" x14ac:dyDescent="0.25"/>
    <row r="838" ht="12" customHeight="1" x14ac:dyDescent="0.25"/>
    <row r="839" ht="12" customHeight="1" x14ac:dyDescent="0.25"/>
    <row r="840" ht="12" customHeight="1" x14ac:dyDescent="0.25"/>
    <row r="841" ht="12" customHeight="1" x14ac:dyDescent="0.25"/>
    <row r="842" ht="12" customHeight="1" x14ac:dyDescent="0.25"/>
    <row r="843" ht="12" customHeight="1" x14ac:dyDescent="0.25"/>
    <row r="844" ht="12" customHeight="1" x14ac:dyDescent="0.25"/>
    <row r="845" ht="12" customHeight="1" x14ac:dyDescent="0.25"/>
    <row r="846" ht="12" customHeight="1" x14ac:dyDescent="0.25"/>
    <row r="847" ht="12" customHeight="1" x14ac:dyDescent="0.25"/>
    <row r="848" ht="12" customHeight="1" x14ac:dyDescent="0.25"/>
    <row r="849" ht="12" customHeight="1" x14ac:dyDescent="0.25"/>
    <row r="850" ht="12" customHeight="1" x14ac:dyDescent="0.25"/>
    <row r="851" ht="12" customHeight="1" x14ac:dyDescent="0.25"/>
    <row r="852" ht="12" customHeight="1" x14ac:dyDescent="0.25"/>
    <row r="853" ht="12" customHeight="1" x14ac:dyDescent="0.25"/>
    <row r="854" ht="12" customHeight="1" x14ac:dyDescent="0.25"/>
    <row r="855" ht="12" customHeight="1" x14ac:dyDescent="0.25"/>
    <row r="856" ht="12" customHeight="1" x14ac:dyDescent="0.25"/>
    <row r="857" ht="12" customHeight="1" x14ac:dyDescent="0.25"/>
    <row r="858" ht="12" customHeight="1" x14ac:dyDescent="0.25"/>
    <row r="859" ht="12" customHeight="1" x14ac:dyDescent="0.25"/>
    <row r="860" ht="12" customHeight="1" x14ac:dyDescent="0.25"/>
    <row r="861" ht="12" customHeight="1" x14ac:dyDescent="0.25"/>
    <row r="862" ht="12" customHeight="1" x14ac:dyDescent="0.25"/>
    <row r="863" ht="12" customHeight="1" x14ac:dyDescent="0.25"/>
    <row r="864" ht="12" customHeight="1" x14ac:dyDescent="0.25"/>
    <row r="865" ht="12" customHeight="1" x14ac:dyDescent="0.25"/>
    <row r="866" ht="12" customHeight="1" x14ac:dyDescent="0.25"/>
    <row r="867" ht="12" customHeight="1" x14ac:dyDescent="0.25"/>
    <row r="868" ht="12" customHeight="1" x14ac:dyDescent="0.25"/>
    <row r="869" ht="12" customHeight="1" x14ac:dyDescent="0.25"/>
    <row r="870" ht="12" customHeight="1" x14ac:dyDescent="0.25"/>
    <row r="871" ht="12" customHeight="1" x14ac:dyDescent="0.25"/>
    <row r="872" ht="12" customHeight="1" x14ac:dyDescent="0.25"/>
    <row r="873" ht="12" customHeight="1" x14ac:dyDescent="0.25"/>
    <row r="874" ht="12" customHeight="1" x14ac:dyDescent="0.25"/>
    <row r="875" ht="12" customHeight="1" x14ac:dyDescent="0.25"/>
    <row r="876" ht="12" customHeight="1" x14ac:dyDescent="0.25"/>
    <row r="877" ht="12" customHeight="1" x14ac:dyDescent="0.25"/>
    <row r="878" ht="12" customHeight="1" x14ac:dyDescent="0.25"/>
    <row r="879" ht="12" customHeight="1" x14ac:dyDescent="0.25"/>
    <row r="880" ht="12" customHeight="1" x14ac:dyDescent="0.25"/>
    <row r="881" ht="12" customHeight="1" x14ac:dyDescent="0.25"/>
    <row r="882" ht="12" customHeight="1" x14ac:dyDescent="0.25"/>
    <row r="883" ht="12" customHeight="1" x14ac:dyDescent="0.25"/>
    <row r="884" ht="12" customHeight="1" x14ac:dyDescent="0.25"/>
    <row r="885" ht="12" customHeight="1" x14ac:dyDescent="0.25"/>
    <row r="886" ht="12" customHeight="1" x14ac:dyDescent="0.25"/>
    <row r="887" ht="12" customHeight="1" x14ac:dyDescent="0.25"/>
    <row r="888" ht="12" customHeight="1" x14ac:dyDescent="0.25"/>
    <row r="889" ht="12" customHeight="1" x14ac:dyDescent="0.25"/>
    <row r="890" ht="12" customHeight="1" x14ac:dyDescent="0.25"/>
    <row r="891" ht="12" customHeight="1" x14ac:dyDescent="0.25"/>
    <row r="892" ht="12" customHeight="1" x14ac:dyDescent="0.25"/>
    <row r="893" ht="12" customHeight="1" x14ac:dyDescent="0.25"/>
    <row r="894" ht="12" customHeight="1" x14ac:dyDescent="0.25"/>
    <row r="895" ht="12" customHeight="1" x14ac:dyDescent="0.25"/>
    <row r="896" ht="12" customHeight="1" x14ac:dyDescent="0.25"/>
    <row r="897" ht="12" customHeight="1" x14ac:dyDescent="0.25"/>
    <row r="898" ht="12" customHeight="1" x14ac:dyDescent="0.25"/>
    <row r="899" ht="12" customHeight="1" x14ac:dyDescent="0.25"/>
    <row r="900" ht="12" customHeight="1" x14ac:dyDescent="0.25"/>
    <row r="901" ht="12" customHeight="1" x14ac:dyDescent="0.25"/>
    <row r="902" ht="12" customHeight="1" x14ac:dyDescent="0.25"/>
    <row r="903" ht="12" customHeight="1" x14ac:dyDescent="0.25"/>
    <row r="904" ht="12" customHeight="1" x14ac:dyDescent="0.25"/>
    <row r="905" ht="12" customHeight="1" x14ac:dyDescent="0.25"/>
    <row r="906" ht="12" customHeight="1" x14ac:dyDescent="0.25"/>
    <row r="907" ht="12" customHeight="1" x14ac:dyDescent="0.25"/>
    <row r="908" ht="12" customHeight="1" x14ac:dyDescent="0.25"/>
    <row r="909" ht="12" customHeight="1" x14ac:dyDescent="0.25"/>
    <row r="910" ht="12" customHeight="1" x14ac:dyDescent="0.25"/>
    <row r="911" ht="12" customHeight="1" x14ac:dyDescent="0.25"/>
    <row r="912" ht="12" customHeight="1" x14ac:dyDescent="0.25"/>
    <row r="913" ht="12" customHeight="1" x14ac:dyDescent="0.25"/>
    <row r="914" ht="12" customHeight="1" x14ac:dyDescent="0.25"/>
    <row r="915" ht="12" customHeight="1" x14ac:dyDescent="0.25"/>
    <row r="916" ht="12" customHeight="1" x14ac:dyDescent="0.25"/>
    <row r="917" ht="12" customHeight="1" x14ac:dyDescent="0.25"/>
    <row r="918" ht="12" customHeight="1" x14ac:dyDescent="0.25"/>
    <row r="919" ht="12" customHeight="1" x14ac:dyDescent="0.25"/>
    <row r="920" ht="12" customHeight="1" x14ac:dyDescent="0.25"/>
    <row r="921" ht="12" customHeight="1" x14ac:dyDescent="0.25"/>
    <row r="922" ht="12" customHeight="1" x14ac:dyDescent="0.25"/>
    <row r="923" ht="12" customHeight="1" x14ac:dyDescent="0.25"/>
    <row r="924" ht="12" customHeight="1" x14ac:dyDescent="0.25"/>
    <row r="925" ht="12" customHeight="1" x14ac:dyDescent="0.25"/>
    <row r="926" ht="12" customHeight="1" x14ac:dyDescent="0.25"/>
    <row r="927" ht="12" customHeight="1" x14ac:dyDescent="0.25"/>
    <row r="928" ht="12" customHeight="1" x14ac:dyDescent="0.25"/>
    <row r="929" ht="12" customHeight="1" x14ac:dyDescent="0.25"/>
    <row r="930" ht="12" customHeight="1" x14ac:dyDescent="0.25"/>
    <row r="931" ht="12" customHeight="1" x14ac:dyDescent="0.25"/>
    <row r="932" ht="12" customHeight="1" x14ac:dyDescent="0.25"/>
    <row r="933" ht="12" customHeight="1" x14ac:dyDescent="0.25"/>
    <row r="934" ht="12" customHeight="1" x14ac:dyDescent="0.25"/>
    <row r="935" ht="12" customHeight="1" x14ac:dyDescent="0.25"/>
    <row r="936" ht="12" customHeight="1" x14ac:dyDescent="0.25"/>
    <row r="937" ht="12" customHeight="1" x14ac:dyDescent="0.25"/>
    <row r="938" ht="12" customHeight="1" x14ac:dyDescent="0.25"/>
    <row r="939" ht="12" customHeight="1" x14ac:dyDescent="0.25"/>
    <row r="940" ht="12" customHeight="1" x14ac:dyDescent="0.25"/>
    <row r="941" ht="12" customHeight="1" x14ac:dyDescent="0.25"/>
    <row r="942" ht="12" customHeight="1" x14ac:dyDescent="0.25"/>
    <row r="943" ht="12" customHeight="1" x14ac:dyDescent="0.25"/>
    <row r="944" ht="12" customHeight="1" x14ac:dyDescent="0.25"/>
    <row r="945" ht="12" customHeight="1" x14ac:dyDescent="0.25"/>
    <row r="946" ht="12" customHeight="1" x14ac:dyDescent="0.25"/>
    <row r="947" ht="12" customHeight="1" x14ac:dyDescent="0.25"/>
    <row r="948" ht="12" customHeight="1" x14ac:dyDescent="0.25"/>
    <row r="949" ht="12" customHeight="1" x14ac:dyDescent="0.25"/>
    <row r="950" ht="12" customHeight="1" x14ac:dyDescent="0.25"/>
    <row r="951" ht="12" customHeight="1" x14ac:dyDescent="0.25"/>
    <row r="952" ht="12" customHeight="1" x14ac:dyDescent="0.25"/>
    <row r="953" ht="12" customHeight="1" x14ac:dyDescent="0.25"/>
    <row r="954" ht="12" customHeight="1" x14ac:dyDescent="0.25"/>
    <row r="955" ht="12" customHeight="1" x14ac:dyDescent="0.25"/>
    <row r="956" ht="12" customHeight="1" x14ac:dyDescent="0.25"/>
    <row r="957" ht="12" customHeight="1" x14ac:dyDescent="0.25"/>
    <row r="958" ht="12" customHeight="1" x14ac:dyDescent="0.25"/>
    <row r="959" ht="12" customHeight="1" x14ac:dyDescent="0.25"/>
    <row r="960" ht="12" customHeight="1" x14ac:dyDescent="0.25"/>
    <row r="961" ht="12" customHeight="1" x14ac:dyDescent="0.25"/>
    <row r="962" ht="12" customHeight="1" x14ac:dyDescent="0.25"/>
    <row r="963" ht="12" customHeight="1" x14ac:dyDescent="0.25"/>
    <row r="964" ht="12" customHeight="1" x14ac:dyDescent="0.25"/>
    <row r="965" ht="12" customHeight="1" x14ac:dyDescent="0.25"/>
    <row r="966" ht="12" customHeight="1" x14ac:dyDescent="0.25"/>
    <row r="967" ht="12" customHeight="1" x14ac:dyDescent="0.25"/>
    <row r="968" ht="12" customHeight="1" x14ac:dyDescent="0.25"/>
    <row r="969" ht="12" customHeight="1" x14ac:dyDescent="0.25"/>
    <row r="970" ht="12" customHeight="1" x14ac:dyDescent="0.25"/>
    <row r="971" ht="12" customHeight="1" x14ac:dyDescent="0.25"/>
    <row r="972" ht="12" customHeight="1" x14ac:dyDescent="0.25"/>
    <row r="973" ht="12" customHeight="1" x14ac:dyDescent="0.25"/>
    <row r="974" ht="12" customHeight="1" x14ac:dyDescent="0.25"/>
    <row r="975" ht="12" customHeight="1" x14ac:dyDescent="0.25"/>
    <row r="976" ht="12" customHeight="1" x14ac:dyDescent="0.25"/>
    <row r="977" ht="12" customHeight="1" x14ac:dyDescent="0.25"/>
    <row r="978" ht="12" customHeight="1" x14ac:dyDescent="0.25"/>
    <row r="979" ht="12" customHeight="1" x14ac:dyDescent="0.25"/>
    <row r="980" ht="12" customHeight="1" x14ac:dyDescent="0.25"/>
    <row r="981" ht="12" customHeight="1" x14ac:dyDescent="0.25"/>
    <row r="982" ht="12" customHeight="1" x14ac:dyDescent="0.25"/>
    <row r="983" ht="12" customHeight="1" x14ac:dyDescent="0.25"/>
    <row r="984" ht="12" customHeight="1" x14ac:dyDescent="0.25"/>
    <row r="985" ht="12" customHeight="1" x14ac:dyDescent="0.25"/>
    <row r="986" ht="12" customHeight="1" x14ac:dyDescent="0.25"/>
    <row r="987" ht="12" customHeight="1" x14ac:dyDescent="0.25"/>
    <row r="988" ht="12" customHeight="1" x14ac:dyDescent="0.25"/>
    <row r="989" ht="12" customHeight="1" x14ac:dyDescent="0.25"/>
    <row r="990" ht="12" customHeight="1" x14ac:dyDescent="0.25"/>
    <row r="991" ht="12" customHeight="1" x14ac:dyDescent="0.25"/>
    <row r="992" ht="12" customHeight="1" x14ac:dyDescent="0.25"/>
    <row r="993" ht="12" customHeight="1" x14ac:dyDescent="0.25"/>
    <row r="994" ht="12" customHeight="1" x14ac:dyDescent="0.25"/>
    <row r="995" ht="12" customHeight="1" x14ac:dyDescent="0.25"/>
    <row r="996" ht="12" customHeight="1" x14ac:dyDescent="0.25"/>
    <row r="997" ht="12" customHeight="1" x14ac:dyDescent="0.25"/>
    <row r="998" ht="12" customHeight="1" x14ac:dyDescent="0.25"/>
    <row r="999" ht="12" customHeight="1" x14ac:dyDescent="0.25"/>
    <row r="1000" ht="12" customHeight="1" x14ac:dyDescent="0.25"/>
  </sheetData>
  <pageMargins left="0.7" right="0.7" top="0.75" bottom="0.75" header="0" footer="0"/>
  <pageSetup orientation="landscape"/>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P1000"/>
  <sheetViews>
    <sheetView workbookViewId="0"/>
  </sheetViews>
  <sheetFormatPr baseColWidth="10" defaultColWidth="12.6328125" defaultRowHeight="15" customHeight="1" x14ac:dyDescent="0.25"/>
  <cols>
    <col min="1" max="1" width="9.08984375" customWidth="1"/>
    <col min="2" max="2" width="6" customWidth="1"/>
    <col min="3" max="9" width="5.36328125" customWidth="1"/>
    <col min="10" max="10" width="6" customWidth="1"/>
    <col min="11" max="16" width="5.36328125" customWidth="1"/>
    <col min="17" max="26" width="10.6328125" customWidth="1"/>
  </cols>
  <sheetData>
    <row r="1" spans="1:16" ht="12" customHeight="1" x14ac:dyDescent="0.25">
      <c r="A1" s="24" t="s">
        <v>39</v>
      </c>
      <c r="B1" s="25">
        <v>5</v>
      </c>
      <c r="C1" s="23"/>
      <c r="D1" s="23"/>
      <c r="E1" s="23"/>
      <c r="F1" s="23"/>
      <c r="G1" s="23"/>
      <c r="H1" s="23"/>
      <c r="I1" s="23"/>
      <c r="J1" s="23"/>
      <c r="K1" s="23"/>
      <c r="L1" s="23"/>
      <c r="M1" s="23"/>
      <c r="N1" s="23"/>
      <c r="O1" s="23"/>
      <c r="P1" s="23"/>
    </row>
    <row r="2" spans="1:16" ht="12" customHeight="1" x14ac:dyDescent="0.25">
      <c r="A2" s="26" t="s">
        <v>56</v>
      </c>
      <c r="B2" s="26">
        <v>1.1499999999999999</v>
      </c>
      <c r="C2" s="23"/>
      <c r="D2" s="67" t="s">
        <v>57</v>
      </c>
      <c r="E2" s="68"/>
      <c r="F2" s="68"/>
      <c r="G2" s="68"/>
      <c r="H2" s="69"/>
      <c r="I2" s="49" t="s">
        <v>58</v>
      </c>
      <c r="J2" s="23" t="s">
        <v>59</v>
      </c>
      <c r="K2" s="23"/>
      <c r="L2" s="23"/>
      <c r="M2" s="23"/>
      <c r="N2" s="23"/>
      <c r="O2" s="23"/>
      <c r="P2" s="23"/>
    </row>
    <row r="3" spans="1:16" ht="12" customHeight="1" x14ac:dyDescent="0.25">
      <c r="A3" s="27" t="s">
        <v>41</v>
      </c>
      <c r="B3" s="28">
        <v>0.13400000000000001</v>
      </c>
      <c r="C3" s="23"/>
      <c r="D3" s="67" t="s">
        <v>60</v>
      </c>
      <c r="E3" s="68"/>
      <c r="F3" s="68"/>
      <c r="G3" s="68"/>
      <c r="H3" s="69"/>
      <c r="I3" s="49" t="s">
        <v>58</v>
      </c>
      <c r="J3" s="23" t="s">
        <v>61</v>
      </c>
      <c r="K3" s="23"/>
      <c r="L3" s="23"/>
      <c r="M3" s="23"/>
      <c r="N3" s="23"/>
      <c r="O3" s="23"/>
      <c r="P3" s="23"/>
    </row>
    <row r="4" spans="1:16" ht="12" customHeight="1" x14ac:dyDescent="0.25">
      <c r="A4" s="27" t="s">
        <v>66</v>
      </c>
      <c r="B4" s="28">
        <v>0.3</v>
      </c>
      <c r="C4" s="37"/>
      <c r="D4" s="23"/>
      <c r="E4" s="23"/>
      <c r="F4" s="23"/>
      <c r="G4" s="23"/>
      <c r="H4" s="23"/>
      <c r="I4" s="23"/>
      <c r="J4" s="23"/>
      <c r="K4" s="23"/>
      <c r="L4" s="23"/>
      <c r="M4" s="23"/>
      <c r="N4" s="23"/>
      <c r="O4" s="23"/>
      <c r="P4" s="23"/>
    </row>
    <row r="5" spans="1:16" ht="12" customHeight="1" x14ac:dyDescent="0.25">
      <c r="A5" s="43" t="s">
        <v>67</v>
      </c>
      <c r="B5" s="52">
        <v>0.08</v>
      </c>
      <c r="C5" s="23"/>
      <c r="D5" s="23"/>
      <c r="E5" s="23"/>
      <c r="F5" s="23"/>
      <c r="G5" s="23"/>
      <c r="H5" s="23"/>
      <c r="I5" s="23"/>
      <c r="J5" s="23"/>
      <c r="K5" s="23"/>
      <c r="L5" s="23"/>
      <c r="M5" s="23"/>
      <c r="N5" s="23"/>
      <c r="O5" s="23"/>
      <c r="P5" s="23"/>
    </row>
    <row r="6" spans="1:16" ht="12" customHeight="1" x14ac:dyDescent="0.25">
      <c r="A6" s="23"/>
      <c r="B6" s="23"/>
      <c r="C6" s="23"/>
      <c r="D6" s="23"/>
      <c r="E6" s="23"/>
      <c r="F6" s="23"/>
      <c r="G6" s="23"/>
      <c r="H6" s="23"/>
      <c r="I6" s="23"/>
      <c r="J6" s="23"/>
      <c r="K6" s="23"/>
      <c r="L6" s="23"/>
      <c r="M6" s="23"/>
      <c r="N6" s="23"/>
      <c r="O6" s="23"/>
      <c r="P6" s="23"/>
    </row>
    <row r="7" spans="1:16" ht="12" customHeight="1" x14ac:dyDescent="0.25">
      <c r="A7" s="23" t="s">
        <v>68</v>
      </c>
      <c r="B7" s="23">
        <v>1</v>
      </c>
      <c r="C7" s="23">
        <f t="shared" ref="C7:E7" si="0">+B7+1</f>
        <v>2</v>
      </c>
      <c r="D7" s="23">
        <f t="shared" si="0"/>
        <v>3</v>
      </c>
      <c r="E7" s="23">
        <f t="shared" si="0"/>
        <v>4</v>
      </c>
      <c r="F7" s="23"/>
      <c r="G7" s="23"/>
      <c r="H7" s="23"/>
      <c r="I7" s="23"/>
      <c r="J7" s="23"/>
      <c r="K7" s="23"/>
      <c r="L7" s="23"/>
      <c r="M7" s="23"/>
      <c r="N7" s="23"/>
      <c r="O7" s="23"/>
      <c r="P7" s="23"/>
    </row>
    <row r="8" spans="1:16" ht="12" customHeight="1" x14ac:dyDescent="0.25">
      <c r="A8" s="23" t="s">
        <v>69</v>
      </c>
      <c r="B8" s="41">
        <f t="shared" ref="B8:D8" si="1">$B$2*(1+$B$4)^B$7/(1+$B$3)^B$7</f>
        <v>1.318342151675485</v>
      </c>
      <c r="C8" s="41">
        <f t="shared" si="1"/>
        <v>1.5113269816385633</v>
      </c>
      <c r="D8" s="41">
        <f t="shared" si="1"/>
        <v>1.7325617955292174</v>
      </c>
      <c r="E8" s="41">
        <v>0</v>
      </c>
      <c r="F8" s="41"/>
      <c r="G8" s="41"/>
      <c r="H8" s="41"/>
      <c r="I8" s="41"/>
      <c r="J8" s="41"/>
      <c r="K8" s="41"/>
      <c r="L8" s="41"/>
      <c r="M8" s="41"/>
      <c r="N8" s="41"/>
      <c r="O8" s="41"/>
      <c r="P8" s="41"/>
    </row>
    <row r="9" spans="1:16" ht="12" customHeight="1" x14ac:dyDescent="0.25">
      <c r="A9" s="23" t="s">
        <v>70</v>
      </c>
      <c r="B9" s="41">
        <v>0</v>
      </c>
      <c r="C9" s="41">
        <v>0</v>
      </c>
      <c r="D9" s="41">
        <v>0</v>
      </c>
      <c r="E9" s="41">
        <f>D8*(1+$B$5)/($B$3-$B$5)/(1+$B$3)^D$7</f>
        <v>23.761812553303322</v>
      </c>
      <c r="F9" s="41"/>
      <c r="G9" s="41"/>
      <c r="H9" s="41"/>
      <c r="I9" s="41"/>
      <c r="J9" s="41"/>
      <c r="K9" s="41"/>
      <c r="L9" s="41"/>
      <c r="M9" s="41"/>
      <c r="N9" s="41"/>
      <c r="O9" s="41"/>
      <c r="P9" s="41"/>
    </row>
    <row r="10" spans="1:16" ht="12" customHeight="1" x14ac:dyDescent="0.25">
      <c r="A10" s="53" t="s">
        <v>43</v>
      </c>
      <c r="B10" s="50"/>
      <c r="C10" s="50"/>
      <c r="D10" s="50"/>
      <c r="E10" s="50">
        <f>SUM($B$8:E8)+E9</f>
        <v>28.324043482146589</v>
      </c>
      <c r="F10" s="41"/>
      <c r="G10" s="41"/>
      <c r="H10" s="41"/>
      <c r="I10" s="41"/>
      <c r="J10" s="41"/>
      <c r="K10" s="41"/>
      <c r="L10" s="41"/>
      <c r="M10" s="41"/>
      <c r="N10" s="41"/>
      <c r="O10" s="41"/>
      <c r="P10" s="41"/>
    </row>
    <row r="11" spans="1:16" ht="12" customHeight="1" x14ac:dyDescent="0.25">
      <c r="A11" s="41"/>
      <c r="B11" s="41"/>
      <c r="C11" s="41"/>
      <c r="D11" s="41"/>
      <c r="E11" s="41"/>
      <c r="F11" s="41"/>
      <c r="G11" s="41"/>
      <c r="H11" s="41"/>
      <c r="I11" s="41"/>
      <c r="J11" s="41"/>
      <c r="K11" s="41"/>
      <c r="L11" s="41"/>
      <c r="M11" s="41"/>
      <c r="N11" s="41"/>
      <c r="O11" s="41"/>
      <c r="P11" s="41"/>
    </row>
    <row r="12" spans="1:16" ht="12" customHeight="1" x14ac:dyDescent="0.25">
      <c r="A12" s="41"/>
      <c r="B12" s="41"/>
      <c r="C12" s="41"/>
      <c r="D12" s="41"/>
      <c r="E12" s="41"/>
      <c r="F12" s="41"/>
      <c r="G12" s="41"/>
      <c r="H12" s="41"/>
      <c r="I12" s="41"/>
      <c r="J12" s="41"/>
      <c r="K12" s="41"/>
      <c r="L12" s="41"/>
      <c r="M12" s="41"/>
      <c r="N12" s="41"/>
      <c r="O12" s="41"/>
      <c r="P12" s="41"/>
    </row>
    <row r="13" spans="1:16" ht="12" customHeight="1" x14ac:dyDescent="0.25"/>
    <row r="14" spans="1:16" ht="12" customHeight="1" x14ac:dyDescent="0.25"/>
    <row r="15" spans="1:16" ht="12" customHeight="1" x14ac:dyDescent="0.25"/>
    <row r="16" spans="1:16" ht="12" customHeight="1" x14ac:dyDescent="0.25"/>
    <row r="17" ht="12" customHeight="1" x14ac:dyDescent="0.25"/>
    <row r="18" ht="12" customHeight="1" x14ac:dyDescent="0.25"/>
    <row r="19" ht="12" customHeight="1" x14ac:dyDescent="0.25"/>
    <row r="20" ht="12" customHeight="1" x14ac:dyDescent="0.25"/>
    <row r="21" ht="12" customHeight="1" x14ac:dyDescent="0.25"/>
    <row r="22" ht="12" customHeight="1" x14ac:dyDescent="0.25"/>
    <row r="23" ht="12" customHeight="1" x14ac:dyDescent="0.25"/>
    <row r="24" ht="12" customHeight="1" x14ac:dyDescent="0.25"/>
    <row r="25" ht="12" customHeight="1" x14ac:dyDescent="0.25"/>
    <row r="26" ht="12" customHeight="1" x14ac:dyDescent="0.25"/>
    <row r="27" ht="12" customHeight="1" x14ac:dyDescent="0.25"/>
    <row r="28" ht="12" customHeight="1" x14ac:dyDescent="0.25"/>
    <row r="29" ht="12" customHeight="1" x14ac:dyDescent="0.25"/>
    <row r="30" ht="12" customHeight="1" x14ac:dyDescent="0.25"/>
    <row r="31" ht="12" customHeight="1" x14ac:dyDescent="0.25"/>
    <row r="32" ht="12" customHeight="1" x14ac:dyDescent="0.25"/>
    <row r="33" ht="12" customHeight="1" x14ac:dyDescent="0.25"/>
    <row r="34" ht="12" customHeight="1" x14ac:dyDescent="0.25"/>
    <row r="35" ht="12" customHeight="1" x14ac:dyDescent="0.25"/>
    <row r="36" ht="12" customHeight="1" x14ac:dyDescent="0.25"/>
    <row r="37" ht="12" customHeight="1" x14ac:dyDescent="0.25"/>
    <row r="38" ht="12" customHeight="1" x14ac:dyDescent="0.25"/>
    <row r="39" ht="12" customHeight="1" x14ac:dyDescent="0.25"/>
    <row r="40" ht="12" customHeight="1" x14ac:dyDescent="0.25"/>
    <row r="41" ht="12" customHeight="1" x14ac:dyDescent="0.25"/>
    <row r="42" ht="12" customHeight="1" x14ac:dyDescent="0.25"/>
    <row r="43" ht="12" customHeight="1" x14ac:dyDescent="0.25"/>
    <row r="44" ht="12" customHeight="1" x14ac:dyDescent="0.25"/>
    <row r="45" ht="12" customHeight="1" x14ac:dyDescent="0.25"/>
    <row r="46" ht="12" customHeight="1" x14ac:dyDescent="0.25"/>
    <row r="47" ht="12" customHeight="1" x14ac:dyDescent="0.25"/>
    <row r="48" ht="12" customHeight="1" x14ac:dyDescent="0.25"/>
    <row r="49" ht="12" customHeight="1" x14ac:dyDescent="0.25"/>
    <row r="50" ht="12" customHeight="1" x14ac:dyDescent="0.25"/>
    <row r="51" ht="12" customHeight="1" x14ac:dyDescent="0.25"/>
    <row r="52" ht="12" customHeight="1" x14ac:dyDescent="0.25"/>
    <row r="53" ht="12" customHeight="1" x14ac:dyDescent="0.25"/>
    <row r="54" ht="12" customHeight="1" x14ac:dyDescent="0.25"/>
    <row r="55" ht="12" customHeight="1" x14ac:dyDescent="0.25"/>
    <row r="56" ht="12" customHeight="1" x14ac:dyDescent="0.25"/>
    <row r="57" ht="12" customHeight="1" x14ac:dyDescent="0.25"/>
    <row r="58" ht="12" customHeight="1" x14ac:dyDescent="0.25"/>
    <row r="59" ht="12" customHeight="1" x14ac:dyDescent="0.25"/>
    <row r="60" ht="12" customHeight="1" x14ac:dyDescent="0.25"/>
    <row r="61" ht="12" customHeight="1" x14ac:dyDescent="0.25"/>
    <row r="62" ht="12" customHeight="1" x14ac:dyDescent="0.25"/>
    <row r="63" ht="12" customHeight="1" x14ac:dyDescent="0.25"/>
    <row r="64" ht="12" customHeight="1" x14ac:dyDescent="0.25"/>
    <row r="65" ht="12" customHeight="1" x14ac:dyDescent="0.25"/>
    <row r="66" ht="12" customHeight="1" x14ac:dyDescent="0.25"/>
    <row r="67" ht="12" customHeight="1" x14ac:dyDescent="0.25"/>
    <row r="68" ht="12" customHeight="1" x14ac:dyDescent="0.25"/>
    <row r="69" ht="12" customHeight="1" x14ac:dyDescent="0.25"/>
    <row r="70" ht="12" customHeight="1" x14ac:dyDescent="0.25"/>
    <row r="71" ht="12" customHeight="1" x14ac:dyDescent="0.25"/>
    <row r="72" ht="12" customHeight="1" x14ac:dyDescent="0.25"/>
    <row r="73" ht="12" customHeight="1" x14ac:dyDescent="0.25"/>
    <row r="74" ht="12" customHeight="1" x14ac:dyDescent="0.25"/>
    <row r="75" ht="12" customHeight="1" x14ac:dyDescent="0.25"/>
    <row r="76" ht="12" customHeight="1" x14ac:dyDescent="0.25"/>
    <row r="77" ht="12" customHeight="1" x14ac:dyDescent="0.25"/>
    <row r="78" ht="12" customHeight="1" x14ac:dyDescent="0.25"/>
    <row r="79" ht="12" customHeight="1" x14ac:dyDescent="0.25"/>
    <row r="80" ht="12" customHeight="1" x14ac:dyDescent="0.25"/>
    <row r="81" ht="12" customHeight="1" x14ac:dyDescent="0.25"/>
    <row r="82" ht="12" customHeight="1" x14ac:dyDescent="0.25"/>
    <row r="83" ht="12" customHeight="1" x14ac:dyDescent="0.25"/>
    <row r="84" ht="12" customHeight="1" x14ac:dyDescent="0.25"/>
    <row r="85" ht="12" customHeight="1" x14ac:dyDescent="0.25"/>
    <row r="86" ht="12" customHeight="1" x14ac:dyDescent="0.25"/>
    <row r="87" ht="12" customHeight="1" x14ac:dyDescent="0.25"/>
    <row r="88" ht="12" customHeight="1" x14ac:dyDescent="0.25"/>
    <row r="89" ht="12" customHeight="1" x14ac:dyDescent="0.25"/>
    <row r="90" ht="12" customHeight="1" x14ac:dyDescent="0.25"/>
    <row r="91" ht="12" customHeight="1" x14ac:dyDescent="0.25"/>
    <row r="92" ht="12" customHeight="1" x14ac:dyDescent="0.25"/>
    <row r="93" ht="12" customHeight="1" x14ac:dyDescent="0.25"/>
    <row r="94" ht="12" customHeight="1" x14ac:dyDescent="0.25"/>
    <row r="95" ht="12" customHeight="1" x14ac:dyDescent="0.25"/>
    <row r="96" ht="12" customHeight="1" x14ac:dyDescent="0.25"/>
    <row r="97" ht="12" customHeight="1" x14ac:dyDescent="0.25"/>
    <row r="98" ht="12" customHeight="1" x14ac:dyDescent="0.25"/>
    <row r="99" ht="12" customHeight="1" x14ac:dyDescent="0.25"/>
    <row r="100" ht="12" customHeight="1" x14ac:dyDescent="0.25"/>
    <row r="101" ht="12" customHeight="1" x14ac:dyDescent="0.25"/>
    <row r="102" ht="12" customHeight="1" x14ac:dyDescent="0.25"/>
    <row r="103" ht="12" customHeight="1" x14ac:dyDescent="0.25"/>
    <row r="104" ht="12" customHeight="1" x14ac:dyDescent="0.25"/>
    <row r="105" ht="12" customHeight="1" x14ac:dyDescent="0.25"/>
    <row r="106" ht="12" customHeight="1" x14ac:dyDescent="0.25"/>
    <row r="107" ht="12" customHeight="1" x14ac:dyDescent="0.25"/>
    <row r="108" ht="12" customHeight="1" x14ac:dyDescent="0.25"/>
    <row r="109" ht="12" customHeight="1" x14ac:dyDescent="0.25"/>
    <row r="110" ht="12" customHeight="1" x14ac:dyDescent="0.25"/>
    <row r="111" ht="12" customHeight="1" x14ac:dyDescent="0.25"/>
    <row r="112" ht="12" customHeight="1" x14ac:dyDescent="0.25"/>
    <row r="113" ht="12" customHeight="1" x14ac:dyDescent="0.25"/>
    <row r="114" ht="12" customHeight="1" x14ac:dyDescent="0.25"/>
    <row r="115" ht="12" customHeight="1" x14ac:dyDescent="0.25"/>
    <row r="116" ht="12" customHeight="1" x14ac:dyDescent="0.25"/>
    <row r="117" ht="12" customHeight="1" x14ac:dyDescent="0.25"/>
    <row r="118" ht="12" customHeight="1" x14ac:dyDescent="0.25"/>
    <row r="119" ht="12" customHeight="1" x14ac:dyDescent="0.25"/>
    <row r="120" ht="12" customHeight="1" x14ac:dyDescent="0.25"/>
    <row r="121" ht="12" customHeight="1" x14ac:dyDescent="0.25"/>
    <row r="122" ht="12" customHeight="1" x14ac:dyDescent="0.25"/>
    <row r="123" ht="12" customHeight="1" x14ac:dyDescent="0.25"/>
    <row r="124" ht="12" customHeight="1" x14ac:dyDescent="0.25"/>
    <row r="125" ht="12" customHeight="1" x14ac:dyDescent="0.25"/>
    <row r="126" ht="12" customHeight="1" x14ac:dyDescent="0.25"/>
    <row r="127" ht="12" customHeight="1" x14ac:dyDescent="0.25"/>
    <row r="128" ht="12" customHeight="1" x14ac:dyDescent="0.25"/>
    <row r="129" ht="12" customHeight="1" x14ac:dyDescent="0.25"/>
    <row r="130" ht="12" customHeight="1" x14ac:dyDescent="0.25"/>
    <row r="131" ht="12" customHeight="1" x14ac:dyDescent="0.25"/>
    <row r="132" ht="12" customHeight="1" x14ac:dyDescent="0.25"/>
    <row r="133" ht="12" customHeight="1" x14ac:dyDescent="0.25"/>
    <row r="134" ht="12" customHeight="1" x14ac:dyDescent="0.25"/>
    <row r="135" ht="12" customHeight="1" x14ac:dyDescent="0.25"/>
    <row r="136" ht="12" customHeight="1" x14ac:dyDescent="0.25"/>
    <row r="137" ht="12" customHeight="1" x14ac:dyDescent="0.25"/>
    <row r="138" ht="12" customHeight="1" x14ac:dyDescent="0.25"/>
    <row r="139" ht="12" customHeight="1" x14ac:dyDescent="0.25"/>
    <row r="140" ht="12" customHeight="1" x14ac:dyDescent="0.25"/>
    <row r="141" ht="12" customHeight="1" x14ac:dyDescent="0.25"/>
    <row r="142" ht="12" customHeight="1" x14ac:dyDescent="0.25"/>
    <row r="143" ht="12" customHeight="1" x14ac:dyDescent="0.25"/>
    <row r="144" ht="12" customHeight="1" x14ac:dyDescent="0.25"/>
    <row r="145" ht="12" customHeight="1" x14ac:dyDescent="0.25"/>
    <row r="146" ht="12" customHeight="1" x14ac:dyDescent="0.25"/>
    <row r="147" ht="12" customHeight="1" x14ac:dyDescent="0.25"/>
    <row r="148" ht="12" customHeight="1" x14ac:dyDescent="0.25"/>
    <row r="149" ht="12" customHeight="1" x14ac:dyDescent="0.25"/>
    <row r="150" ht="12" customHeight="1" x14ac:dyDescent="0.25"/>
    <row r="151" ht="12" customHeight="1" x14ac:dyDescent="0.25"/>
    <row r="152" ht="12" customHeight="1" x14ac:dyDescent="0.25"/>
    <row r="153" ht="12" customHeight="1" x14ac:dyDescent="0.25"/>
    <row r="154" ht="12" customHeight="1" x14ac:dyDescent="0.25"/>
    <row r="155" ht="12" customHeight="1" x14ac:dyDescent="0.25"/>
    <row r="156" ht="12" customHeight="1" x14ac:dyDescent="0.25"/>
    <row r="157" ht="12" customHeight="1" x14ac:dyDescent="0.25"/>
    <row r="158" ht="12" customHeight="1" x14ac:dyDescent="0.25"/>
    <row r="159" ht="12" customHeight="1" x14ac:dyDescent="0.25"/>
    <row r="160" ht="12" customHeight="1" x14ac:dyDescent="0.25"/>
    <row r="161" ht="12" customHeight="1" x14ac:dyDescent="0.25"/>
    <row r="162" ht="12" customHeight="1" x14ac:dyDescent="0.25"/>
    <row r="163" ht="12" customHeight="1" x14ac:dyDescent="0.25"/>
    <row r="164" ht="12" customHeight="1" x14ac:dyDescent="0.25"/>
    <row r="165" ht="12" customHeight="1" x14ac:dyDescent="0.25"/>
    <row r="166" ht="12" customHeight="1" x14ac:dyDescent="0.25"/>
    <row r="167" ht="12" customHeight="1" x14ac:dyDescent="0.25"/>
    <row r="168" ht="12" customHeight="1" x14ac:dyDescent="0.25"/>
    <row r="169" ht="12" customHeight="1" x14ac:dyDescent="0.25"/>
    <row r="170" ht="12" customHeight="1" x14ac:dyDescent="0.25"/>
    <row r="171" ht="12" customHeight="1" x14ac:dyDescent="0.25"/>
    <row r="172" ht="12" customHeight="1" x14ac:dyDescent="0.25"/>
    <row r="173" ht="12" customHeight="1" x14ac:dyDescent="0.25"/>
    <row r="174" ht="12" customHeight="1" x14ac:dyDescent="0.25"/>
    <row r="175" ht="12" customHeight="1" x14ac:dyDescent="0.25"/>
    <row r="176" ht="12" customHeight="1" x14ac:dyDescent="0.25"/>
    <row r="177" ht="12" customHeight="1" x14ac:dyDescent="0.25"/>
    <row r="178" ht="12" customHeight="1" x14ac:dyDescent="0.25"/>
    <row r="179" ht="12" customHeight="1" x14ac:dyDescent="0.25"/>
    <row r="180" ht="12" customHeight="1" x14ac:dyDescent="0.25"/>
    <row r="181" ht="12" customHeight="1" x14ac:dyDescent="0.25"/>
    <row r="182" ht="12" customHeight="1" x14ac:dyDescent="0.25"/>
    <row r="183" ht="12" customHeight="1" x14ac:dyDescent="0.25"/>
    <row r="184" ht="12" customHeight="1" x14ac:dyDescent="0.25"/>
    <row r="185" ht="12" customHeight="1" x14ac:dyDescent="0.25"/>
    <row r="186" ht="12" customHeight="1" x14ac:dyDescent="0.25"/>
    <row r="187" ht="12" customHeight="1" x14ac:dyDescent="0.25"/>
    <row r="188" ht="12" customHeight="1" x14ac:dyDescent="0.25"/>
    <row r="189" ht="12" customHeight="1" x14ac:dyDescent="0.25"/>
    <row r="190" ht="12" customHeight="1" x14ac:dyDescent="0.25"/>
    <row r="191" ht="12" customHeight="1" x14ac:dyDescent="0.25"/>
    <row r="192" ht="12" customHeight="1" x14ac:dyDescent="0.25"/>
    <row r="193" ht="12" customHeight="1" x14ac:dyDescent="0.25"/>
    <row r="194" ht="12" customHeight="1" x14ac:dyDescent="0.25"/>
    <row r="195" ht="12" customHeight="1" x14ac:dyDescent="0.25"/>
    <row r="196" ht="12" customHeight="1" x14ac:dyDescent="0.25"/>
    <row r="197" ht="12" customHeight="1" x14ac:dyDescent="0.25"/>
    <row r="198" ht="12" customHeight="1" x14ac:dyDescent="0.25"/>
    <row r="199" ht="12" customHeight="1" x14ac:dyDescent="0.25"/>
    <row r="200" ht="12" customHeight="1" x14ac:dyDescent="0.25"/>
    <row r="201" ht="12" customHeight="1" x14ac:dyDescent="0.25"/>
    <row r="202" ht="12" customHeight="1" x14ac:dyDescent="0.25"/>
    <row r="203" ht="12" customHeight="1" x14ac:dyDescent="0.25"/>
    <row r="204" ht="12" customHeight="1" x14ac:dyDescent="0.25"/>
    <row r="205" ht="12" customHeight="1" x14ac:dyDescent="0.25"/>
    <row r="206" ht="12" customHeight="1" x14ac:dyDescent="0.25"/>
    <row r="207" ht="12" customHeight="1" x14ac:dyDescent="0.25"/>
    <row r="208" ht="12" customHeight="1" x14ac:dyDescent="0.25"/>
    <row r="209" ht="12" customHeight="1" x14ac:dyDescent="0.25"/>
    <row r="210" ht="12" customHeight="1" x14ac:dyDescent="0.25"/>
    <row r="211" ht="12" customHeight="1" x14ac:dyDescent="0.25"/>
    <row r="212" ht="12" customHeight="1" x14ac:dyDescent="0.25"/>
    <row r="213" ht="12" customHeight="1" x14ac:dyDescent="0.25"/>
    <row r="214" ht="12" customHeight="1" x14ac:dyDescent="0.25"/>
    <row r="215" ht="12" customHeight="1" x14ac:dyDescent="0.25"/>
    <row r="216" ht="12" customHeight="1" x14ac:dyDescent="0.25"/>
    <row r="217" ht="12" customHeight="1" x14ac:dyDescent="0.25"/>
    <row r="218" ht="12" customHeight="1" x14ac:dyDescent="0.25"/>
    <row r="219" ht="12" customHeight="1" x14ac:dyDescent="0.25"/>
    <row r="220" ht="12" customHeight="1" x14ac:dyDescent="0.25"/>
    <row r="221" ht="12" customHeight="1" x14ac:dyDescent="0.25"/>
    <row r="222" ht="12" customHeight="1" x14ac:dyDescent="0.25"/>
    <row r="223" ht="12" customHeight="1" x14ac:dyDescent="0.25"/>
    <row r="224" ht="12" customHeight="1" x14ac:dyDescent="0.25"/>
    <row r="225" ht="12" customHeight="1" x14ac:dyDescent="0.25"/>
    <row r="226" ht="12" customHeight="1" x14ac:dyDescent="0.25"/>
    <row r="227" ht="12" customHeight="1" x14ac:dyDescent="0.25"/>
    <row r="228" ht="12" customHeight="1" x14ac:dyDescent="0.25"/>
    <row r="229" ht="12" customHeight="1" x14ac:dyDescent="0.25"/>
    <row r="230" ht="12" customHeight="1" x14ac:dyDescent="0.25"/>
    <row r="231" ht="12" customHeight="1" x14ac:dyDescent="0.25"/>
    <row r="232" ht="12" customHeight="1" x14ac:dyDescent="0.25"/>
    <row r="233" ht="12" customHeight="1" x14ac:dyDescent="0.25"/>
    <row r="234" ht="12" customHeight="1" x14ac:dyDescent="0.25"/>
    <row r="235" ht="12" customHeight="1" x14ac:dyDescent="0.25"/>
    <row r="236" ht="12" customHeight="1" x14ac:dyDescent="0.25"/>
    <row r="237" ht="12" customHeight="1" x14ac:dyDescent="0.25"/>
    <row r="238" ht="12" customHeight="1" x14ac:dyDescent="0.25"/>
    <row r="239" ht="12" customHeight="1" x14ac:dyDescent="0.25"/>
    <row r="240" ht="12" customHeight="1" x14ac:dyDescent="0.25"/>
    <row r="241" ht="12" customHeight="1" x14ac:dyDescent="0.25"/>
    <row r="242" ht="12" customHeight="1" x14ac:dyDescent="0.25"/>
    <row r="243" ht="12" customHeight="1" x14ac:dyDescent="0.25"/>
    <row r="244" ht="12" customHeight="1" x14ac:dyDescent="0.25"/>
    <row r="245" ht="12" customHeight="1" x14ac:dyDescent="0.25"/>
    <row r="246" ht="12" customHeight="1" x14ac:dyDescent="0.25"/>
    <row r="247" ht="12" customHeight="1" x14ac:dyDescent="0.25"/>
    <row r="248" ht="12" customHeight="1" x14ac:dyDescent="0.25"/>
    <row r="249" ht="12" customHeight="1" x14ac:dyDescent="0.25"/>
    <row r="250" ht="12" customHeight="1" x14ac:dyDescent="0.25"/>
    <row r="251" ht="12" customHeight="1" x14ac:dyDescent="0.25"/>
    <row r="252" ht="12" customHeight="1" x14ac:dyDescent="0.25"/>
    <row r="253" ht="12" customHeight="1" x14ac:dyDescent="0.25"/>
    <row r="254" ht="12" customHeight="1" x14ac:dyDescent="0.25"/>
    <row r="255" ht="12" customHeight="1" x14ac:dyDescent="0.25"/>
    <row r="256" ht="12" customHeight="1" x14ac:dyDescent="0.25"/>
    <row r="257" ht="12" customHeight="1" x14ac:dyDescent="0.25"/>
    <row r="258" ht="12" customHeight="1" x14ac:dyDescent="0.25"/>
    <row r="259" ht="12" customHeight="1" x14ac:dyDescent="0.25"/>
    <row r="260" ht="12" customHeight="1" x14ac:dyDescent="0.25"/>
    <row r="261" ht="12" customHeight="1" x14ac:dyDescent="0.25"/>
    <row r="262" ht="12" customHeight="1" x14ac:dyDescent="0.25"/>
    <row r="263" ht="12" customHeight="1" x14ac:dyDescent="0.25"/>
    <row r="264" ht="12" customHeight="1" x14ac:dyDescent="0.25"/>
    <row r="265" ht="12" customHeight="1" x14ac:dyDescent="0.25"/>
    <row r="266" ht="12" customHeight="1" x14ac:dyDescent="0.25"/>
    <row r="267" ht="12" customHeight="1" x14ac:dyDescent="0.25"/>
    <row r="268" ht="12" customHeight="1" x14ac:dyDescent="0.25"/>
    <row r="269" ht="12" customHeight="1" x14ac:dyDescent="0.25"/>
    <row r="270" ht="12" customHeight="1" x14ac:dyDescent="0.25"/>
    <row r="271" ht="12" customHeight="1" x14ac:dyDescent="0.25"/>
    <row r="272" ht="12" customHeight="1" x14ac:dyDescent="0.25"/>
    <row r="273" ht="12" customHeight="1" x14ac:dyDescent="0.25"/>
    <row r="274" ht="12" customHeight="1" x14ac:dyDescent="0.25"/>
    <row r="275" ht="12" customHeight="1" x14ac:dyDescent="0.25"/>
    <row r="276" ht="12" customHeight="1" x14ac:dyDescent="0.25"/>
    <row r="277" ht="12" customHeight="1" x14ac:dyDescent="0.25"/>
    <row r="278" ht="12" customHeight="1" x14ac:dyDescent="0.25"/>
    <row r="279" ht="12" customHeight="1" x14ac:dyDescent="0.25"/>
    <row r="280" ht="12" customHeight="1" x14ac:dyDescent="0.25"/>
    <row r="281" ht="12" customHeight="1" x14ac:dyDescent="0.25"/>
    <row r="282" ht="12" customHeight="1" x14ac:dyDescent="0.25"/>
    <row r="283" ht="12" customHeight="1" x14ac:dyDescent="0.25"/>
    <row r="284" ht="12" customHeight="1" x14ac:dyDescent="0.25"/>
    <row r="285" ht="12" customHeight="1" x14ac:dyDescent="0.25"/>
    <row r="286" ht="12" customHeight="1" x14ac:dyDescent="0.25"/>
    <row r="287" ht="12" customHeight="1" x14ac:dyDescent="0.25"/>
    <row r="288" ht="12" customHeight="1" x14ac:dyDescent="0.25"/>
    <row r="289" ht="12" customHeight="1" x14ac:dyDescent="0.25"/>
    <row r="290" ht="12" customHeight="1" x14ac:dyDescent="0.25"/>
    <row r="291" ht="12" customHeight="1" x14ac:dyDescent="0.25"/>
    <row r="292" ht="12" customHeight="1" x14ac:dyDescent="0.25"/>
    <row r="293" ht="12" customHeight="1" x14ac:dyDescent="0.25"/>
    <row r="294" ht="12" customHeight="1" x14ac:dyDescent="0.25"/>
    <row r="295" ht="12" customHeight="1" x14ac:dyDescent="0.25"/>
    <row r="296" ht="12" customHeight="1" x14ac:dyDescent="0.25"/>
    <row r="297" ht="12" customHeight="1" x14ac:dyDescent="0.25"/>
    <row r="298" ht="12" customHeight="1" x14ac:dyDescent="0.25"/>
    <row r="299" ht="12" customHeight="1" x14ac:dyDescent="0.25"/>
    <row r="300" ht="12" customHeight="1" x14ac:dyDescent="0.25"/>
    <row r="301" ht="12" customHeight="1" x14ac:dyDescent="0.25"/>
    <row r="302" ht="12" customHeight="1" x14ac:dyDescent="0.25"/>
    <row r="303" ht="12" customHeight="1" x14ac:dyDescent="0.25"/>
    <row r="304" ht="12" customHeight="1" x14ac:dyDescent="0.25"/>
    <row r="305" ht="12" customHeight="1" x14ac:dyDescent="0.25"/>
    <row r="306" ht="12" customHeight="1" x14ac:dyDescent="0.25"/>
    <row r="307" ht="12" customHeight="1" x14ac:dyDescent="0.25"/>
    <row r="308" ht="12" customHeight="1" x14ac:dyDescent="0.25"/>
    <row r="309" ht="12" customHeight="1" x14ac:dyDescent="0.25"/>
    <row r="310" ht="12" customHeight="1" x14ac:dyDescent="0.25"/>
    <row r="311" ht="12" customHeight="1" x14ac:dyDescent="0.25"/>
    <row r="312" ht="12" customHeight="1" x14ac:dyDescent="0.25"/>
    <row r="313" ht="12" customHeight="1" x14ac:dyDescent="0.25"/>
    <row r="314" ht="12" customHeight="1" x14ac:dyDescent="0.25"/>
    <row r="315" ht="12" customHeight="1" x14ac:dyDescent="0.25"/>
    <row r="316" ht="12" customHeight="1" x14ac:dyDescent="0.25"/>
    <row r="317" ht="12" customHeight="1" x14ac:dyDescent="0.25"/>
    <row r="318" ht="12" customHeight="1" x14ac:dyDescent="0.25"/>
    <row r="319" ht="12" customHeight="1" x14ac:dyDescent="0.25"/>
    <row r="320" ht="12" customHeight="1" x14ac:dyDescent="0.25"/>
    <row r="321" ht="12" customHeight="1" x14ac:dyDescent="0.25"/>
    <row r="322" ht="12" customHeight="1" x14ac:dyDescent="0.25"/>
    <row r="323" ht="12" customHeight="1" x14ac:dyDescent="0.25"/>
    <row r="324" ht="12" customHeight="1" x14ac:dyDescent="0.25"/>
    <row r="325" ht="12" customHeight="1" x14ac:dyDescent="0.25"/>
    <row r="326" ht="12" customHeight="1" x14ac:dyDescent="0.25"/>
    <row r="327" ht="12" customHeight="1" x14ac:dyDescent="0.25"/>
    <row r="328" ht="12" customHeight="1" x14ac:dyDescent="0.25"/>
    <row r="329" ht="12" customHeight="1" x14ac:dyDescent="0.25"/>
    <row r="330" ht="12" customHeight="1" x14ac:dyDescent="0.25"/>
    <row r="331" ht="12" customHeight="1" x14ac:dyDescent="0.25"/>
    <row r="332" ht="12" customHeight="1" x14ac:dyDescent="0.25"/>
    <row r="333" ht="12" customHeight="1" x14ac:dyDescent="0.25"/>
    <row r="334" ht="12" customHeight="1" x14ac:dyDescent="0.25"/>
    <row r="335" ht="12" customHeight="1" x14ac:dyDescent="0.25"/>
    <row r="336" ht="12" customHeight="1" x14ac:dyDescent="0.25"/>
    <row r="337" ht="12" customHeight="1" x14ac:dyDescent="0.25"/>
    <row r="338" ht="12" customHeight="1" x14ac:dyDescent="0.25"/>
    <row r="339" ht="12" customHeight="1" x14ac:dyDescent="0.25"/>
    <row r="340" ht="12" customHeight="1" x14ac:dyDescent="0.25"/>
    <row r="341" ht="12" customHeight="1" x14ac:dyDescent="0.25"/>
    <row r="342" ht="12" customHeight="1" x14ac:dyDescent="0.25"/>
    <row r="343" ht="12" customHeight="1" x14ac:dyDescent="0.25"/>
    <row r="344" ht="12" customHeight="1" x14ac:dyDescent="0.25"/>
    <row r="345" ht="12" customHeight="1" x14ac:dyDescent="0.25"/>
    <row r="346" ht="12" customHeight="1" x14ac:dyDescent="0.25"/>
    <row r="347" ht="12" customHeight="1" x14ac:dyDescent="0.25"/>
    <row r="348" ht="12" customHeight="1" x14ac:dyDescent="0.25"/>
    <row r="349" ht="12" customHeight="1" x14ac:dyDescent="0.25"/>
    <row r="350" ht="12" customHeight="1" x14ac:dyDescent="0.25"/>
    <row r="351" ht="12" customHeight="1" x14ac:dyDescent="0.25"/>
    <row r="352" ht="12" customHeight="1" x14ac:dyDescent="0.25"/>
    <row r="353" ht="12" customHeight="1" x14ac:dyDescent="0.25"/>
    <row r="354" ht="12" customHeight="1" x14ac:dyDescent="0.25"/>
    <row r="355" ht="12" customHeight="1" x14ac:dyDescent="0.25"/>
    <row r="356" ht="12" customHeight="1" x14ac:dyDescent="0.25"/>
    <row r="357" ht="12" customHeight="1" x14ac:dyDescent="0.25"/>
    <row r="358" ht="12" customHeight="1" x14ac:dyDescent="0.25"/>
    <row r="359" ht="12" customHeight="1" x14ac:dyDescent="0.25"/>
    <row r="360" ht="12" customHeight="1" x14ac:dyDescent="0.25"/>
    <row r="361" ht="12" customHeight="1" x14ac:dyDescent="0.25"/>
    <row r="362" ht="12" customHeight="1" x14ac:dyDescent="0.25"/>
    <row r="363" ht="12" customHeight="1" x14ac:dyDescent="0.25"/>
    <row r="364" ht="12" customHeight="1" x14ac:dyDescent="0.25"/>
    <row r="365" ht="12" customHeight="1" x14ac:dyDescent="0.25"/>
    <row r="366" ht="12" customHeight="1" x14ac:dyDescent="0.25"/>
    <row r="367" ht="12" customHeight="1" x14ac:dyDescent="0.25"/>
    <row r="368" ht="12" customHeight="1" x14ac:dyDescent="0.25"/>
    <row r="369" ht="12" customHeight="1" x14ac:dyDescent="0.25"/>
    <row r="370" ht="12" customHeight="1" x14ac:dyDescent="0.25"/>
    <row r="371" ht="12" customHeight="1" x14ac:dyDescent="0.25"/>
    <row r="372" ht="12" customHeight="1" x14ac:dyDescent="0.25"/>
    <row r="373" ht="12" customHeight="1" x14ac:dyDescent="0.25"/>
    <row r="374" ht="12" customHeight="1" x14ac:dyDescent="0.25"/>
    <row r="375" ht="12" customHeight="1" x14ac:dyDescent="0.25"/>
    <row r="376" ht="12" customHeight="1" x14ac:dyDescent="0.25"/>
    <row r="377" ht="12" customHeight="1" x14ac:dyDescent="0.25"/>
    <row r="378" ht="12" customHeight="1" x14ac:dyDescent="0.25"/>
    <row r="379" ht="12" customHeight="1" x14ac:dyDescent="0.25"/>
    <row r="380" ht="12" customHeight="1" x14ac:dyDescent="0.25"/>
    <row r="381" ht="12" customHeight="1" x14ac:dyDescent="0.25"/>
    <row r="382" ht="12" customHeight="1" x14ac:dyDescent="0.25"/>
    <row r="383" ht="12" customHeight="1" x14ac:dyDescent="0.25"/>
    <row r="384" ht="12" customHeight="1" x14ac:dyDescent="0.25"/>
    <row r="385" ht="12" customHeight="1" x14ac:dyDescent="0.25"/>
    <row r="386" ht="12" customHeight="1" x14ac:dyDescent="0.25"/>
    <row r="387" ht="12" customHeight="1" x14ac:dyDescent="0.25"/>
    <row r="388" ht="12" customHeight="1" x14ac:dyDescent="0.25"/>
    <row r="389" ht="12" customHeight="1" x14ac:dyDescent="0.25"/>
    <row r="390" ht="12" customHeight="1" x14ac:dyDescent="0.25"/>
    <row r="391" ht="12" customHeight="1" x14ac:dyDescent="0.25"/>
    <row r="392" ht="12" customHeight="1" x14ac:dyDescent="0.25"/>
    <row r="393" ht="12" customHeight="1" x14ac:dyDescent="0.25"/>
    <row r="394" ht="12" customHeight="1" x14ac:dyDescent="0.25"/>
    <row r="395" ht="12" customHeight="1" x14ac:dyDescent="0.25"/>
    <row r="396" ht="12" customHeight="1" x14ac:dyDescent="0.25"/>
    <row r="397" ht="12" customHeight="1" x14ac:dyDescent="0.25"/>
    <row r="398" ht="12" customHeight="1" x14ac:dyDescent="0.25"/>
    <row r="399" ht="12" customHeight="1" x14ac:dyDescent="0.25"/>
    <row r="400" ht="12" customHeight="1" x14ac:dyDescent="0.25"/>
    <row r="401" ht="12" customHeight="1" x14ac:dyDescent="0.25"/>
    <row r="402" ht="12" customHeight="1" x14ac:dyDescent="0.25"/>
    <row r="403" ht="12" customHeight="1" x14ac:dyDescent="0.25"/>
    <row r="404" ht="12" customHeight="1" x14ac:dyDescent="0.25"/>
    <row r="405" ht="12" customHeight="1" x14ac:dyDescent="0.25"/>
    <row r="406" ht="12" customHeight="1" x14ac:dyDescent="0.25"/>
    <row r="407" ht="12" customHeight="1" x14ac:dyDescent="0.25"/>
    <row r="408" ht="12" customHeight="1" x14ac:dyDescent="0.25"/>
    <row r="409" ht="12" customHeight="1" x14ac:dyDescent="0.25"/>
    <row r="410" ht="12" customHeight="1" x14ac:dyDescent="0.25"/>
    <row r="411" ht="12" customHeight="1" x14ac:dyDescent="0.25"/>
    <row r="412" ht="12" customHeight="1" x14ac:dyDescent="0.25"/>
    <row r="413" ht="12" customHeight="1" x14ac:dyDescent="0.25"/>
    <row r="414" ht="12" customHeight="1" x14ac:dyDescent="0.25"/>
    <row r="415" ht="12" customHeight="1" x14ac:dyDescent="0.25"/>
    <row r="416" ht="12" customHeight="1" x14ac:dyDescent="0.25"/>
    <row r="417" ht="12" customHeight="1" x14ac:dyDescent="0.25"/>
    <row r="418" ht="12" customHeight="1" x14ac:dyDescent="0.25"/>
    <row r="419" ht="12" customHeight="1" x14ac:dyDescent="0.25"/>
    <row r="420" ht="12" customHeight="1" x14ac:dyDescent="0.25"/>
    <row r="421" ht="12" customHeight="1" x14ac:dyDescent="0.25"/>
    <row r="422" ht="12" customHeight="1" x14ac:dyDescent="0.25"/>
    <row r="423" ht="12" customHeight="1" x14ac:dyDescent="0.25"/>
    <row r="424" ht="12" customHeight="1" x14ac:dyDescent="0.25"/>
    <row r="425" ht="12" customHeight="1" x14ac:dyDescent="0.25"/>
    <row r="426" ht="12" customHeight="1" x14ac:dyDescent="0.25"/>
    <row r="427" ht="12" customHeight="1" x14ac:dyDescent="0.25"/>
    <row r="428" ht="12" customHeight="1" x14ac:dyDescent="0.25"/>
    <row r="429" ht="12" customHeight="1" x14ac:dyDescent="0.25"/>
    <row r="430" ht="12" customHeight="1" x14ac:dyDescent="0.25"/>
    <row r="431" ht="12" customHeight="1" x14ac:dyDescent="0.25"/>
    <row r="432" ht="12" customHeight="1" x14ac:dyDescent="0.25"/>
    <row r="433" ht="12" customHeight="1" x14ac:dyDescent="0.25"/>
    <row r="434" ht="12" customHeight="1" x14ac:dyDescent="0.25"/>
    <row r="435" ht="12" customHeight="1" x14ac:dyDescent="0.25"/>
    <row r="436" ht="12" customHeight="1" x14ac:dyDescent="0.25"/>
    <row r="437" ht="12" customHeight="1" x14ac:dyDescent="0.25"/>
    <row r="438" ht="12" customHeight="1" x14ac:dyDescent="0.25"/>
    <row r="439" ht="12" customHeight="1" x14ac:dyDescent="0.25"/>
    <row r="440" ht="12" customHeight="1" x14ac:dyDescent="0.25"/>
    <row r="441" ht="12" customHeight="1" x14ac:dyDescent="0.25"/>
    <row r="442" ht="12" customHeight="1" x14ac:dyDescent="0.25"/>
    <row r="443" ht="12" customHeight="1" x14ac:dyDescent="0.25"/>
    <row r="444" ht="12" customHeight="1" x14ac:dyDescent="0.25"/>
    <row r="445" ht="12" customHeight="1" x14ac:dyDescent="0.25"/>
    <row r="446" ht="12" customHeight="1" x14ac:dyDescent="0.25"/>
    <row r="447" ht="12" customHeight="1" x14ac:dyDescent="0.25"/>
    <row r="448" ht="12" customHeight="1" x14ac:dyDescent="0.25"/>
    <row r="449" ht="12" customHeight="1" x14ac:dyDescent="0.25"/>
    <row r="450" ht="12" customHeight="1" x14ac:dyDescent="0.25"/>
    <row r="451" ht="12" customHeight="1" x14ac:dyDescent="0.25"/>
    <row r="452" ht="12" customHeight="1" x14ac:dyDescent="0.25"/>
    <row r="453" ht="12" customHeight="1" x14ac:dyDescent="0.25"/>
    <row r="454" ht="12" customHeight="1" x14ac:dyDescent="0.25"/>
    <row r="455" ht="12" customHeight="1" x14ac:dyDescent="0.25"/>
    <row r="456" ht="12" customHeight="1" x14ac:dyDescent="0.25"/>
    <row r="457" ht="12" customHeight="1" x14ac:dyDescent="0.25"/>
    <row r="458" ht="12" customHeight="1" x14ac:dyDescent="0.25"/>
    <row r="459" ht="12" customHeight="1" x14ac:dyDescent="0.25"/>
    <row r="460" ht="12" customHeight="1" x14ac:dyDescent="0.25"/>
    <row r="461" ht="12" customHeight="1" x14ac:dyDescent="0.25"/>
    <row r="462" ht="12" customHeight="1" x14ac:dyDescent="0.25"/>
    <row r="463" ht="12" customHeight="1" x14ac:dyDescent="0.25"/>
    <row r="464" ht="12" customHeight="1" x14ac:dyDescent="0.25"/>
    <row r="465" ht="12" customHeight="1" x14ac:dyDescent="0.25"/>
    <row r="466" ht="12" customHeight="1" x14ac:dyDescent="0.25"/>
    <row r="467" ht="12" customHeight="1" x14ac:dyDescent="0.25"/>
    <row r="468" ht="12" customHeight="1" x14ac:dyDescent="0.25"/>
    <row r="469" ht="12" customHeight="1" x14ac:dyDescent="0.25"/>
    <row r="470" ht="12" customHeight="1" x14ac:dyDescent="0.25"/>
    <row r="471" ht="12" customHeight="1" x14ac:dyDescent="0.25"/>
    <row r="472" ht="12" customHeight="1" x14ac:dyDescent="0.25"/>
    <row r="473" ht="12" customHeight="1" x14ac:dyDescent="0.25"/>
    <row r="474" ht="12" customHeight="1" x14ac:dyDescent="0.25"/>
    <row r="475" ht="12" customHeight="1" x14ac:dyDescent="0.25"/>
    <row r="476" ht="12" customHeight="1" x14ac:dyDescent="0.25"/>
    <row r="477" ht="12" customHeight="1" x14ac:dyDescent="0.25"/>
    <row r="478" ht="12" customHeight="1" x14ac:dyDescent="0.25"/>
    <row r="479" ht="12" customHeight="1" x14ac:dyDescent="0.25"/>
    <row r="480" ht="12" customHeight="1" x14ac:dyDescent="0.25"/>
    <row r="481" ht="12" customHeight="1" x14ac:dyDescent="0.25"/>
    <row r="482" ht="12" customHeight="1" x14ac:dyDescent="0.25"/>
    <row r="483" ht="12" customHeight="1" x14ac:dyDescent="0.25"/>
    <row r="484" ht="12" customHeight="1" x14ac:dyDescent="0.25"/>
    <row r="485" ht="12" customHeight="1" x14ac:dyDescent="0.25"/>
    <row r="486" ht="12" customHeight="1" x14ac:dyDescent="0.25"/>
    <row r="487" ht="12" customHeight="1" x14ac:dyDescent="0.25"/>
    <row r="488" ht="12" customHeight="1" x14ac:dyDescent="0.25"/>
    <row r="489" ht="12" customHeight="1" x14ac:dyDescent="0.25"/>
    <row r="490" ht="12" customHeight="1" x14ac:dyDescent="0.25"/>
    <row r="491" ht="12" customHeight="1" x14ac:dyDescent="0.25"/>
    <row r="492" ht="12" customHeight="1" x14ac:dyDescent="0.25"/>
    <row r="493" ht="12" customHeight="1" x14ac:dyDescent="0.25"/>
    <row r="494" ht="12" customHeight="1" x14ac:dyDescent="0.25"/>
    <row r="495" ht="12" customHeight="1" x14ac:dyDescent="0.25"/>
    <row r="496" ht="12" customHeight="1" x14ac:dyDescent="0.25"/>
    <row r="497" ht="12" customHeight="1" x14ac:dyDescent="0.25"/>
    <row r="498" ht="12" customHeight="1" x14ac:dyDescent="0.25"/>
    <row r="499" ht="12" customHeight="1" x14ac:dyDescent="0.25"/>
    <row r="500" ht="12" customHeight="1" x14ac:dyDescent="0.25"/>
    <row r="501" ht="12" customHeight="1" x14ac:dyDescent="0.25"/>
    <row r="502" ht="12" customHeight="1" x14ac:dyDescent="0.25"/>
    <row r="503" ht="12" customHeight="1" x14ac:dyDescent="0.25"/>
    <row r="504" ht="12" customHeight="1" x14ac:dyDescent="0.25"/>
    <row r="505" ht="12" customHeight="1" x14ac:dyDescent="0.25"/>
    <row r="506" ht="12" customHeight="1" x14ac:dyDescent="0.25"/>
    <row r="507" ht="12" customHeight="1" x14ac:dyDescent="0.25"/>
    <row r="508" ht="12" customHeight="1" x14ac:dyDescent="0.25"/>
    <row r="509" ht="12" customHeight="1" x14ac:dyDescent="0.25"/>
    <row r="510" ht="12" customHeight="1" x14ac:dyDescent="0.25"/>
    <row r="511" ht="12" customHeight="1" x14ac:dyDescent="0.25"/>
    <row r="512" ht="12" customHeight="1" x14ac:dyDescent="0.25"/>
    <row r="513" ht="12" customHeight="1" x14ac:dyDescent="0.25"/>
    <row r="514" ht="12" customHeight="1" x14ac:dyDescent="0.25"/>
    <row r="515" ht="12" customHeight="1" x14ac:dyDescent="0.25"/>
    <row r="516" ht="12" customHeight="1" x14ac:dyDescent="0.25"/>
    <row r="517" ht="12" customHeight="1" x14ac:dyDescent="0.25"/>
    <row r="518" ht="12" customHeight="1" x14ac:dyDescent="0.25"/>
    <row r="519" ht="12" customHeight="1" x14ac:dyDescent="0.25"/>
    <row r="520" ht="12" customHeight="1" x14ac:dyDescent="0.25"/>
    <row r="521" ht="12" customHeight="1" x14ac:dyDescent="0.25"/>
    <row r="522" ht="12" customHeight="1" x14ac:dyDescent="0.25"/>
    <row r="523" ht="12" customHeight="1" x14ac:dyDescent="0.25"/>
    <row r="524" ht="12" customHeight="1" x14ac:dyDescent="0.25"/>
    <row r="525" ht="12" customHeight="1" x14ac:dyDescent="0.25"/>
    <row r="526" ht="12" customHeight="1" x14ac:dyDescent="0.25"/>
    <row r="527" ht="12" customHeight="1" x14ac:dyDescent="0.25"/>
    <row r="528" ht="12" customHeight="1" x14ac:dyDescent="0.25"/>
    <row r="529" ht="12" customHeight="1" x14ac:dyDescent="0.25"/>
    <row r="530" ht="12" customHeight="1" x14ac:dyDescent="0.25"/>
    <row r="531" ht="12" customHeight="1" x14ac:dyDescent="0.25"/>
    <row r="532" ht="12" customHeight="1" x14ac:dyDescent="0.25"/>
    <row r="533" ht="12" customHeight="1" x14ac:dyDescent="0.25"/>
    <row r="534" ht="12" customHeight="1" x14ac:dyDescent="0.25"/>
    <row r="535" ht="12" customHeight="1" x14ac:dyDescent="0.25"/>
    <row r="536" ht="12" customHeight="1" x14ac:dyDescent="0.25"/>
    <row r="537" ht="12" customHeight="1" x14ac:dyDescent="0.25"/>
    <row r="538" ht="12" customHeight="1" x14ac:dyDescent="0.25"/>
    <row r="539" ht="12" customHeight="1" x14ac:dyDescent="0.25"/>
    <row r="540" ht="12" customHeight="1" x14ac:dyDescent="0.25"/>
    <row r="541" ht="12" customHeight="1" x14ac:dyDescent="0.25"/>
    <row r="542" ht="12" customHeight="1" x14ac:dyDescent="0.25"/>
    <row r="543" ht="12" customHeight="1" x14ac:dyDescent="0.25"/>
    <row r="544" ht="12" customHeight="1" x14ac:dyDescent="0.25"/>
    <row r="545" ht="12" customHeight="1" x14ac:dyDescent="0.25"/>
    <row r="546" ht="12" customHeight="1" x14ac:dyDescent="0.25"/>
    <row r="547" ht="12" customHeight="1" x14ac:dyDescent="0.25"/>
    <row r="548" ht="12" customHeight="1" x14ac:dyDescent="0.25"/>
    <row r="549" ht="12" customHeight="1" x14ac:dyDescent="0.25"/>
    <row r="550" ht="12" customHeight="1" x14ac:dyDescent="0.25"/>
    <row r="551" ht="12" customHeight="1" x14ac:dyDescent="0.25"/>
    <row r="552" ht="12" customHeight="1" x14ac:dyDescent="0.25"/>
    <row r="553" ht="12" customHeight="1" x14ac:dyDescent="0.25"/>
    <row r="554" ht="12" customHeight="1" x14ac:dyDescent="0.25"/>
    <row r="555" ht="12" customHeight="1" x14ac:dyDescent="0.25"/>
    <row r="556" ht="12" customHeight="1" x14ac:dyDescent="0.25"/>
    <row r="557" ht="12" customHeight="1" x14ac:dyDescent="0.25"/>
    <row r="558" ht="12" customHeight="1" x14ac:dyDescent="0.25"/>
    <row r="559" ht="12" customHeight="1" x14ac:dyDescent="0.25"/>
    <row r="560" ht="12" customHeight="1" x14ac:dyDescent="0.25"/>
    <row r="561" ht="12" customHeight="1" x14ac:dyDescent="0.25"/>
    <row r="562" ht="12" customHeight="1" x14ac:dyDescent="0.25"/>
    <row r="563" ht="12" customHeight="1" x14ac:dyDescent="0.25"/>
    <row r="564" ht="12" customHeight="1" x14ac:dyDescent="0.25"/>
    <row r="565" ht="12" customHeight="1" x14ac:dyDescent="0.25"/>
    <row r="566" ht="12" customHeight="1" x14ac:dyDescent="0.25"/>
    <row r="567" ht="12" customHeight="1" x14ac:dyDescent="0.25"/>
    <row r="568" ht="12" customHeight="1" x14ac:dyDescent="0.25"/>
    <row r="569" ht="12" customHeight="1" x14ac:dyDescent="0.25"/>
    <row r="570" ht="12" customHeight="1" x14ac:dyDescent="0.25"/>
    <row r="571" ht="12" customHeight="1" x14ac:dyDescent="0.25"/>
    <row r="572" ht="12" customHeight="1" x14ac:dyDescent="0.25"/>
    <row r="573" ht="12" customHeight="1" x14ac:dyDescent="0.25"/>
    <row r="574" ht="12" customHeight="1" x14ac:dyDescent="0.25"/>
    <row r="575" ht="12" customHeight="1" x14ac:dyDescent="0.25"/>
    <row r="576" ht="12" customHeight="1" x14ac:dyDescent="0.25"/>
    <row r="577" ht="12" customHeight="1" x14ac:dyDescent="0.25"/>
    <row r="578" ht="12" customHeight="1" x14ac:dyDescent="0.25"/>
    <row r="579" ht="12" customHeight="1" x14ac:dyDescent="0.25"/>
    <row r="580" ht="12" customHeight="1" x14ac:dyDescent="0.25"/>
    <row r="581" ht="12" customHeight="1" x14ac:dyDescent="0.25"/>
    <row r="582" ht="12" customHeight="1" x14ac:dyDescent="0.25"/>
    <row r="583" ht="12" customHeight="1" x14ac:dyDescent="0.25"/>
    <row r="584" ht="12" customHeight="1" x14ac:dyDescent="0.25"/>
    <row r="585" ht="12" customHeight="1" x14ac:dyDescent="0.25"/>
    <row r="586" ht="12" customHeight="1" x14ac:dyDescent="0.25"/>
    <row r="587" ht="12" customHeight="1" x14ac:dyDescent="0.25"/>
    <row r="588" ht="12" customHeight="1" x14ac:dyDescent="0.25"/>
    <row r="589" ht="12" customHeight="1" x14ac:dyDescent="0.25"/>
    <row r="590" ht="12" customHeight="1" x14ac:dyDescent="0.25"/>
    <row r="591" ht="12" customHeight="1" x14ac:dyDescent="0.25"/>
    <row r="592" ht="12" customHeight="1" x14ac:dyDescent="0.25"/>
    <row r="593" ht="12" customHeight="1" x14ac:dyDescent="0.25"/>
    <row r="594" ht="12" customHeight="1" x14ac:dyDescent="0.25"/>
    <row r="595" ht="12" customHeight="1" x14ac:dyDescent="0.25"/>
    <row r="596" ht="12" customHeight="1" x14ac:dyDescent="0.25"/>
    <row r="597" ht="12" customHeight="1" x14ac:dyDescent="0.25"/>
    <row r="598" ht="12" customHeight="1" x14ac:dyDescent="0.25"/>
    <row r="599" ht="12" customHeight="1" x14ac:dyDescent="0.25"/>
    <row r="600" ht="12" customHeight="1" x14ac:dyDescent="0.25"/>
    <row r="601" ht="12" customHeight="1" x14ac:dyDescent="0.25"/>
    <row r="602" ht="12" customHeight="1" x14ac:dyDescent="0.25"/>
    <row r="603" ht="12" customHeight="1" x14ac:dyDescent="0.25"/>
    <row r="604" ht="12" customHeight="1" x14ac:dyDescent="0.25"/>
    <row r="605" ht="12" customHeight="1" x14ac:dyDescent="0.25"/>
    <row r="606" ht="12" customHeight="1" x14ac:dyDescent="0.25"/>
    <row r="607" ht="12" customHeight="1" x14ac:dyDescent="0.25"/>
    <row r="608" ht="12" customHeight="1" x14ac:dyDescent="0.25"/>
    <row r="609" ht="12" customHeight="1" x14ac:dyDescent="0.25"/>
    <row r="610" ht="12" customHeight="1" x14ac:dyDescent="0.25"/>
    <row r="611" ht="12" customHeight="1" x14ac:dyDescent="0.25"/>
    <row r="612" ht="12" customHeight="1" x14ac:dyDescent="0.25"/>
    <row r="613" ht="12" customHeight="1" x14ac:dyDescent="0.25"/>
    <row r="614" ht="12" customHeight="1" x14ac:dyDescent="0.25"/>
    <row r="615" ht="12" customHeight="1" x14ac:dyDescent="0.25"/>
    <row r="616" ht="12" customHeight="1" x14ac:dyDescent="0.25"/>
    <row r="617" ht="12" customHeight="1" x14ac:dyDescent="0.25"/>
    <row r="618" ht="12" customHeight="1" x14ac:dyDescent="0.25"/>
    <row r="619" ht="12" customHeight="1" x14ac:dyDescent="0.25"/>
    <row r="620" ht="12" customHeight="1" x14ac:dyDescent="0.25"/>
    <row r="621" ht="12" customHeight="1" x14ac:dyDescent="0.25"/>
    <row r="622" ht="12" customHeight="1" x14ac:dyDescent="0.25"/>
    <row r="623" ht="12" customHeight="1" x14ac:dyDescent="0.25"/>
    <row r="624" ht="12" customHeight="1" x14ac:dyDescent="0.25"/>
    <row r="625" ht="12" customHeight="1" x14ac:dyDescent="0.25"/>
    <row r="626" ht="12" customHeight="1" x14ac:dyDescent="0.25"/>
    <row r="627" ht="12" customHeight="1" x14ac:dyDescent="0.25"/>
    <row r="628" ht="12" customHeight="1" x14ac:dyDescent="0.25"/>
    <row r="629" ht="12" customHeight="1" x14ac:dyDescent="0.25"/>
    <row r="630" ht="12" customHeight="1" x14ac:dyDescent="0.25"/>
    <row r="631" ht="12" customHeight="1" x14ac:dyDescent="0.25"/>
    <row r="632" ht="12" customHeight="1" x14ac:dyDescent="0.25"/>
    <row r="633" ht="12" customHeight="1" x14ac:dyDescent="0.25"/>
    <row r="634" ht="12" customHeight="1" x14ac:dyDescent="0.25"/>
    <row r="635" ht="12" customHeight="1" x14ac:dyDescent="0.25"/>
    <row r="636" ht="12" customHeight="1" x14ac:dyDescent="0.25"/>
    <row r="637" ht="12" customHeight="1" x14ac:dyDescent="0.25"/>
    <row r="638" ht="12" customHeight="1" x14ac:dyDescent="0.25"/>
    <row r="639" ht="12" customHeight="1" x14ac:dyDescent="0.25"/>
    <row r="640" ht="12" customHeight="1" x14ac:dyDescent="0.25"/>
    <row r="641" ht="12" customHeight="1" x14ac:dyDescent="0.25"/>
    <row r="642" ht="12" customHeight="1" x14ac:dyDescent="0.25"/>
    <row r="643" ht="12" customHeight="1" x14ac:dyDescent="0.25"/>
    <row r="644" ht="12" customHeight="1" x14ac:dyDescent="0.25"/>
    <row r="645" ht="12" customHeight="1" x14ac:dyDescent="0.25"/>
    <row r="646" ht="12" customHeight="1" x14ac:dyDescent="0.25"/>
    <row r="647" ht="12" customHeight="1" x14ac:dyDescent="0.25"/>
    <row r="648" ht="12" customHeight="1" x14ac:dyDescent="0.25"/>
    <row r="649" ht="12" customHeight="1" x14ac:dyDescent="0.25"/>
    <row r="650" ht="12" customHeight="1" x14ac:dyDescent="0.25"/>
    <row r="651" ht="12" customHeight="1" x14ac:dyDescent="0.25"/>
    <row r="652" ht="12" customHeight="1" x14ac:dyDescent="0.25"/>
    <row r="653" ht="12" customHeight="1" x14ac:dyDescent="0.25"/>
    <row r="654" ht="12" customHeight="1" x14ac:dyDescent="0.25"/>
    <row r="655" ht="12" customHeight="1" x14ac:dyDescent="0.25"/>
    <row r="656" ht="12" customHeight="1" x14ac:dyDescent="0.25"/>
    <row r="657" ht="12" customHeight="1" x14ac:dyDescent="0.25"/>
    <row r="658" ht="12" customHeight="1" x14ac:dyDescent="0.25"/>
    <row r="659" ht="12" customHeight="1" x14ac:dyDescent="0.25"/>
    <row r="660" ht="12" customHeight="1" x14ac:dyDescent="0.25"/>
    <row r="661" ht="12" customHeight="1" x14ac:dyDescent="0.25"/>
    <row r="662" ht="12" customHeight="1" x14ac:dyDescent="0.25"/>
    <row r="663" ht="12" customHeight="1" x14ac:dyDescent="0.25"/>
    <row r="664" ht="12" customHeight="1" x14ac:dyDescent="0.25"/>
    <row r="665" ht="12" customHeight="1" x14ac:dyDescent="0.25"/>
    <row r="666" ht="12" customHeight="1" x14ac:dyDescent="0.25"/>
    <row r="667" ht="12" customHeight="1" x14ac:dyDescent="0.25"/>
    <row r="668" ht="12" customHeight="1" x14ac:dyDescent="0.25"/>
    <row r="669" ht="12" customHeight="1" x14ac:dyDescent="0.25"/>
    <row r="670" ht="12" customHeight="1" x14ac:dyDescent="0.25"/>
    <row r="671" ht="12" customHeight="1" x14ac:dyDescent="0.25"/>
    <row r="672" ht="12" customHeight="1" x14ac:dyDescent="0.25"/>
    <row r="673" ht="12" customHeight="1" x14ac:dyDescent="0.25"/>
    <row r="674" ht="12" customHeight="1" x14ac:dyDescent="0.25"/>
    <row r="675" ht="12" customHeight="1" x14ac:dyDescent="0.25"/>
    <row r="676" ht="12" customHeight="1" x14ac:dyDescent="0.25"/>
    <row r="677" ht="12" customHeight="1" x14ac:dyDescent="0.25"/>
    <row r="678" ht="12" customHeight="1" x14ac:dyDescent="0.25"/>
    <row r="679" ht="12" customHeight="1" x14ac:dyDescent="0.25"/>
    <row r="680" ht="12" customHeight="1" x14ac:dyDescent="0.25"/>
    <row r="681" ht="12" customHeight="1" x14ac:dyDescent="0.25"/>
    <row r="682" ht="12" customHeight="1" x14ac:dyDescent="0.25"/>
    <row r="683" ht="12" customHeight="1" x14ac:dyDescent="0.25"/>
    <row r="684" ht="12" customHeight="1" x14ac:dyDescent="0.25"/>
    <row r="685" ht="12" customHeight="1" x14ac:dyDescent="0.25"/>
    <row r="686" ht="12" customHeight="1" x14ac:dyDescent="0.25"/>
    <row r="687" ht="12" customHeight="1" x14ac:dyDescent="0.25"/>
    <row r="688" ht="12" customHeight="1" x14ac:dyDescent="0.25"/>
    <row r="689" ht="12" customHeight="1" x14ac:dyDescent="0.25"/>
    <row r="690" ht="12" customHeight="1" x14ac:dyDescent="0.25"/>
    <row r="691" ht="12" customHeight="1" x14ac:dyDescent="0.25"/>
    <row r="692" ht="12" customHeight="1" x14ac:dyDescent="0.25"/>
    <row r="693" ht="12" customHeight="1" x14ac:dyDescent="0.25"/>
    <row r="694" ht="12" customHeight="1" x14ac:dyDescent="0.25"/>
    <row r="695" ht="12" customHeight="1" x14ac:dyDescent="0.25"/>
    <row r="696" ht="12" customHeight="1" x14ac:dyDescent="0.25"/>
    <row r="697" ht="12" customHeight="1" x14ac:dyDescent="0.25"/>
    <row r="698" ht="12" customHeight="1" x14ac:dyDescent="0.25"/>
    <row r="699" ht="12" customHeight="1" x14ac:dyDescent="0.25"/>
    <row r="700" ht="12" customHeight="1" x14ac:dyDescent="0.25"/>
    <row r="701" ht="12" customHeight="1" x14ac:dyDescent="0.25"/>
    <row r="702" ht="12" customHeight="1" x14ac:dyDescent="0.25"/>
    <row r="703" ht="12" customHeight="1" x14ac:dyDescent="0.25"/>
    <row r="704" ht="12" customHeight="1" x14ac:dyDescent="0.25"/>
    <row r="705" ht="12" customHeight="1" x14ac:dyDescent="0.25"/>
    <row r="706" ht="12" customHeight="1" x14ac:dyDescent="0.25"/>
    <row r="707" ht="12" customHeight="1" x14ac:dyDescent="0.25"/>
    <row r="708" ht="12" customHeight="1" x14ac:dyDescent="0.25"/>
    <row r="709" ht="12" customHeight="1" x14ac:dyDescent="0.25"/>
    <row r="710" ht="12" customHeight="1" x14ac:dyDescent="0.25"/>
    <row r="711" ht="12" customHeight="1" x14ac:dyDescent="0.25"/>
    <row r="712" ht="12" customHeight="1" x14ac:dyDescent="0.25"/>
    <row r="713" ht="12" customHeight="1" x14ac:dyDescent="0.25"/>
    <row r="714" ht="12" customHeight="1" x14ac:dyDescent="0.25"/>
    <row r="715" ht="12" customHeight="1" x14ac:dyDescent="0.25"/>
    <row r="716" ht="12" customHeight="1" x14ac:dyDescent="0.25"/>
    <row r="717" ht="12" customHeight="1" x14ac:dyDescent="0.25"/>
    <row r="718" ht="12" customHeight="1" x14ac:dyDescent="0.25"/>
    <row r="719" ht="12" customHeight="1" x14ac:dyDescent="0.25"/>
    <row r="720" ht="12" customHeight="1" x14ac:dyDescent="0.25"/>
    <row r="721" ht="12" customHeight="1" x14ac:dyDescent="0.25"/>
    <row r="722" ht="12" customHeight="1" x14ac:dyDescent="0.25"/>
    <row r="723" ht="12" customHeight="1" x14ac:dyDescent="0.25"/>
    <row r="724" ht="12" customHeight="1" x14ac:dyDescent="0.25"/>
    <row r="725" ht="12" customHeight="1" x14ac:dyDescent="0.25"/>
    <row r="726" ht="12" customHeight="1" x14ac:dyDescent="0.25"/>
    <row r="727" ht="12" customHeight="1" x14ac:dyDescent="0.25"/>
    <row r="728" ht="12" customHeight="1" x14ac:dyDescent="0.25"/>
    <row r="729" ht="12" customHeight="1" x14ac:dyDescent="0.25"/>
    <row r="730" ht="12" customHeight="1" x14ac:dyDescent="0.25"/>
    <row r="731" ht="12" customHeight="1" x14ac:dyDescent="0.25"/>
    <row r="732" ht="12" customHeight="1" x14ac:dyDescent="0.25"/>
    <row r="733" ht="12" customHeight="1" x14ac:dyDescent="0.25"/>
    <row r="734" ht="12" customHeight="1" x14ac:dyDescent="0.25"/>
    <row r="735" ht="12" customHeight="1" x14ac:dyDescent="0.25"/>
    <row r="736" ht="12" customHeight="1" x14ac:dyDescent="0.25"/>
    <row r="737" ht="12" customHeight="1" x14ac:dyDescent="0.25"/>
    <row r="738" ht="12" customHeight="1" x14ac:dyDescent="0.25"/>
    <row r="739" ht="12" customHeight="1" x14ac:dyDescent="0.25"/>
    <row r="740" ht="12" customHeight="1" x14ac:dyDescent="0.25"/>
    <row r="741" ht="12" customHeight="1" x14ac:dyDescent="0.25"/>
    <row r="742" ht="12" customHeight="1" x14ac:dyDescent="0.25"/>
    <row r="743" ht="12" customHeight="1" x14ac:dyDescent="0.25"/>
    <row r="744" ht="12" customHeight="1" x14ac:dyDescent="0.25"/>
    <row r="745" ht="12" customHeight="1" x14ac:dyDescent="0.25"/>
    <row r="746" ht="12" customHeight="1" x14ac:dyDescent="0.25"/>
    <row r="747" ht="12" customHeight="1" x14ac:dyDescent="0.25"/>
    <row r="748" ht="12" customHeight="1" x14ac:dyDescent="0.25"/>
    <row r="749" ht="12" customHeight="1" x14ac:dyDescent="0.25"/>
    <row r="750" ht="12" customHeight="1" x14ac:dyDescent="0.25"/>
    <row r="751" ht="12" customHeight="1" x14ac:dyDescent="0.25"/>
    <row r="752" ht="12" customHeight="1" x14ac:dyDescent="0.25"/>
    <row r="753" ht="12" customHeight="1" x14ac:dyDescent="0.25"/>
    <row r="754" ht="12" customHeight="1" x14ac:dyDescent="0.25"/>
    <row r="755" ht="12" customHeight="1" x14ac:dyDescent="0.25"/>
    <row r="756" ht="12" customHeight="1" x14ac:dyDescent="0.25"/>
    <row r="757" ht="12" customHeight="1" x14ac:dyDescent="0.25"/>
    <row r="758" ht="12" customHeight="1" x14ac:dyDescent="0.25"/>
    <row r="759" ht="12" customHeight="1" x14ac:dyDescent="0.25"/>
    <row r="760" ht="12" customHeight="1" x14ac:dyDescent="0.25"/>
    <row r="761" ht="12" customHeight="1" x14ac:dyDescent="0.25"/>
    <row r="762" ht="12" customHeight="1" x14ac:dyDescent="0.25"/>
    <row r="763" ht="12" customHeight="1" x14ac:dyDescent="0.25"/>
    <row r="764" ht="12" customHeight="1" x14ac:dyDescent="0.25"/>
    <row r="765" ht="12" customHeight="1" x14ac:dyDescent="0.25"/>
    <row r="766" ht="12" customHeight="1" x14ac:dyDescent="0.25"/>
    <row r="767" ht="12" customHeight="1" x14ac:dyDescent="0.25"/>
    <row r="768" ht="12" customHeight="1" x14ac:dyDescent="0.25"/>
    <row r="769" ht="12" customHeight="1" x14ac:dyDescent="0.25"/>
    <row r="770" ht="12" customHeight="1" x14ac:dyDescent="0.25"/>
    <row r="771" ht="12" customHeight="1" x14ac:dyDescent="0.25"/>
    <row r="772" ht="12" customHeight="1" x14ac:dyDescent="0.25"/>
    <row r="773" ht="12" customHeight="1" x14ac:dyDescent="0.25"/>
    <row r="774" ht="12" customHeight="1" x14ac:dyDescent="0.25"/>
    <row r="775" ht="12" customHeight="1" x14ac:dyDescent="0.25"/>
    <row r="776" ht="12" customHeight="1" x14ac:dyDescent="0.25"/>
    <row r="777" ht="12" customHeight="1" x14ac:dyDescent="0.25"/>
    <row r="778" ht="12" customHeight="1" x14ac:dyDescent="0.25"/>
    <row r="779" ht="12" customHeight="1" x14ac:dyDescent="0.25"/>
    <row r="780" ht="12" customHeight="1" x14ac:dyDescent="0.25"/>
    <row r="781" ht="12" customHeight="1" x14ac:dyDescent="0.25"/>
    <row r="782" ht="12" customHeight="1" x14ac:dyDescent="0.25"/>
    <row r="783" ht="12" customHeight="1" x14ac:dyDescent="0.25"/>
    <row r="784" ht="12" customHeight="1" x14ac:dyDescent="0.25"/>
    <row r="785" ht="12" customHeight="1" x14ac:dyDescent="0.25"/>
    <row r="786" ht="12" customHeight="1" x14ac:dyDescent="0.25"/>
    <row r="787" ht="12" customHeight="1" x14ac:dyDescent="0.25"/>
    <row r="788" ht="12" customHeight="1" x14ac:dyDescent="0.25"/>
    <row r="789" ht="12" customHeight="1" x14ac:dyDescent="0.25"/>
    <row r="790" ht="12" customHeight="1" x14ac:dyDescent="0.25"/>
    <row r="791" ht="12" customHeight="1" x14ac:dyDescent="0.25"/>
    <row r="792" ht="12" customHeight="1" x14ac:dyDescent="0.25"/>
    <row r="793" ht="12" customHeight="1" x14ac:dyDescent="0.25"/>
    <row r="794" ht="12" customHeight="1" x14ac:dyDescent="0.25"/>
    <row r="795" ht="12" customHeight="1" x14ac:dyDescent="0.25"/>
    <row r="796" ht="12" customHeight="1" x14ac:dyDescent="0.25"/>
    <row r="797" ht="12" customHeight="1" x14ac:dyDescent="0.25"/>
    <row r="798" ht="12" customHeight="1" x14ac:dyDescent="0.25"/>
    <row r="799" ht="12" customHeight="1" x14ac:dyDescent="0.25"/>
    <row r="800" ht="12" customHeight="1" x14ac:dyDescent="0.25"/>
    <row r="801" ht="12" customHeight="1" x14ac:dyDescent="0.25"/>
    <row r="802" ht="12" customHeight="1" x14ac:dyDescent="0.25"/>
    <row r="803" ht="12" customHeight="1" x14ac:dyDescent="0.25"/>
    <row r="804" ht="12" customHeight="1" x14ac:dyDescent="0.25"/>
    <row r="805" ht="12" customHeight="1" x14ac:dyDescent="0.25"/>
    <row r="806" ht="12" customHeight="1" x14ac:dyDescent="0.25"/>
    <row r="807" ht="12" customHeight="1" x14ac:dyDescent="0.25"/>
    <row r="808" ht="12" customHeight="1" x14ac:dyDescent="0.25"/>
    <row r="809" ht="12" customHeight="1" x14ac:dyDescent="0.25"/>
    <row r="810" ht="12" customHeight="1" x14ac:dyDescent="0.25"/>
    <row r="811" ht="12" customHeight="1" x14ac:dyDescent="0.25"/>
    <row r="812" ht="12" customHeight="1" x14ac:dyDescent="0.25"/>
    <row r="813" ht="12" customHeight="1" x14ac:dyDescent="0.25"/>
    <row r="814" ht="12" customHeight="1" x14ac:dyDescent="0.25"/>
    <row r="815" ht="12" customHeight="1" x14ac:dyDescent="0.25"/>
    <row r="816" ht="12" customHeight="1" x14ac:dyDescent="0.25"/>
    <row r="817" ht="12" customHeight="1" x14ac:dyDescent="0.25"/>
    <row r="818" ht="12" customHeight="1" x14ac:dyDescent="0.25"/>
    <row r="819" ht="12" customHeight="1" x14ac:dyDescent="0.25"/>
    <row r="820" ht="12" customHeight="1" x14ac:dyDescent="0.25"/>
    <row r="821" ht="12" customHeight="1" x14ac:dyDescent="0.25"/>
    <row r="822" ht="12" customHeight="1" x14ac:dyDescent="0.25"/>
    <row r="823" ht="12" customHeight="1" x14ac:dyDescent="0.25"/>
    <row r="824" ht="12" customHeight="1" x14ac:dyDescent="0.25"/>
    <row r="825" ht="12" customHeight="1" x14ac:dyDescent="0.25"/>
    <row r="826" ht="12" customHeight="1" x14ac:dyDescent="0.25"/>
    <row r="827" ht="12" customHeight="1" x14ac:dyDescent="0.25"/>
    <row r="828" ht="12" customHeight="1" x14ac:dyDescent="0.25"/>
    <row r="829" ht="12" customHeight="1" x14ac:dyDescent="0.25"/>
    <row r="830" ht="12" customHeight="1" x14ac:dyDescent="0.25"/>
    <row r="831" ht="12" customHeight="1" x14ac:dyDescent="0.25"/>
    <row r="832" ht="12" customHeight="1" x14ac:dyDescent="0.25"/>
    <row r="833" ht="12" customHeight="1" x14ac:dyDescent="0.25"/>
    <row r="834" ht="12" customHeight="1" x14ac:dyDescent="0.25"/>
    <row r="835" ht="12" customHeight="1" x14ac:dyDescent="0.25"/>
    <row r="836" ht="12" customHeight="1" x14ac:dyDescent="0.25"/>
    <row r="837" ht="12" customHeight="1" x14ac:dyDescent="0.25"/>
    <row r="838" ht="12" customHeight="1" x14ac:dyDescent="0.25"/>
    <row r="839" ht="12" customHeight="1" x14ac:dyDescent="0.25"/>
    <row r="840" ht="12" customHeight="1" x14ac:dyDescent="0.25"/>
    <row r="841" ht="12" customHeight="1" x14ac:dyDescent="0.25"/>
    <row r="842" ht="12" customHeight="1" x14ac:dyDescent="0.25"/>
    <row r="843" ht="12" customHeight="1" x14ac:dyDescent="0.25"/>
    <row r="844" ht="12" customHeight="1" x14ac:dyDescent="0.25"/>
    <row r="845" ht="12" customHeight="1" x14ac:dyDescent="0.25"/>
    <row r="846" ht="12" customHeight="1" x14ac:dyDescent="0.25"/>
    <row r="847" ht="12" customHeight="1" x14ac:dyDescent="0.25"/>
    <row r="848" ht="12" customHeight="1" x14ac:dyDescent="0.25"/>
    <row r="849" ht="12" customHeight="1" x14ac:dyDescent="0.25"/>
    <row r="850" ht="12" customHeight="1" x14ac:dyDescent="0.25"/>
    <row r="851" ht="12" customHeight="1" x14ac:dyDescent="0.25"/>
    <row r="852" ht="12" customHeight="1" x14ac:dyDescent="0.25"/>
    <row r="853" ht="12" customHeight="1" x14ac:dyDescent="0.25"/>
    <row r="854" ht="12" customHeight="1" x14ac:dyDescent="0.25"/>
    <row r="855" ht="12" customHeight="1" x14ac:dyDescent="0.25"/>
    <row r="856" ht="12" customHeight="1" x14ac:dyDescent="0.25"/>
    <row r="857" ht="12" customHeight="1" x14ac:dyDescent="0.25"/>
    <row r="858" ht="12" customHeight="1" x14ac:dyDescent="0.25"/>
    <row r="859" ht="12" customHeight="1" x14ac:dyDescent="0.25"/>
    <row r="860" ht="12" customHeight="1" x14ac:dyDescent="0.25"/>
    <row r="861" ht="12" customHeight="1" x14ac:dyDescent="0.25"/>
    <row r="862" ht="12" customHeight="1" x14ac:dyDescent="0.25"/>
    <row r="863" ht="12" customHeight="1" x14ac:dyDescent="0.25"/>
    <row r="864" ht="12" customHeight="1" x14ac:dyDescent="0.25"/>
    <row r="865" ht="12" customHeight="1" x14ac:dyDescent="0.25"/>
    <row r="866" ht="12" customHeight="1" x14ac:dyDescent="0.25"/>
    <row r="867" ht="12" customHeight="1" x14ac:dyDescent="0.25"/>
    <row r="868" ht="12" customHeight="1" x14ac:dyDescent="0.25"/>
    <row r="869" ht="12" customHeight="1" x14ac:dyDescent="0.25"/>
    <row r="870" ht="12" customHeight="1" x14ac:dyDescent="0.25"/>
    <row r="871" ht="12" customHeight="1" x14ac:dyDescent="0.25"/>
    <row r="872" ht="12" customHeight="1" x14ac:dyDescent="0.25"/>
    <row r="873" ht="12" customHeight="1" x14ac:dyDescent="0.25"/>
    <row r="874" ht="12" customHeight="1" x14ac:dyDescent="0.25"/>
    <row r="875" ht="12" customHeight="1" x14ac:dyDescent="0.25"/>
    <row r="876" ht="12" customHeight="1" x14ac:dyDescent="0.25"/>
    <row r="877" ht="12" customHeight="1" x14ac:dyDescent="0.25"/>
    <row r="878" ht="12" customHeight="1" x14ac:dyDescent="0.25"/>
    <row r="879" ht="12" customHeight="1" x14ac:dyDescent="0.25"/>
    <row r="880" ht="12" customHeight="1" x14ac:dyDescent="0.25"/>
    <row r="881" ht="12" customHeight="1" x14ac:dyDescent="0.25"/>
    <row r="882" ht="12" customHeight="1" x14ac:dyDescent="0.25"/>
    <row r="883" ht="12" customHeight="1" x14ac:dyDescent="0.25"/>
    <row r="884" ht="12" customHeight="1" x14ac:dyDescent="0.25"/>
    <row r="885" ht="12" customHeight="1" x14ac:dyDescent="0.25"/>
    <row r="886" ht="12" customHeight="1" x14ac:dyDescent="0.25"/>
    <row r="887" ht="12" customHeight="1" x14ac:dyDescent="0.25"/>
    <row r="888" ht="12" customHeight="1" x14ac:dyDescent="0.25"/>
    <row r="889" ht="12" customHeight="1" x14ac:dyDescent="0.25"/>
    <row r="890" ht="12" customHeight="1" x14ac:dyDescent="0.25"/>
    <row r="891" ht="12" customHeight="1" x14ac:dyDescent="0.25"/>
    <row r="892" ht="12" customHeight="1" x14ac:dyDescent="0.25"/>
    <row r="893" ht="12" customHeight="1" x14ac:dyDescent="0.25"/>
    <row r="894" ht="12" customHeight="1" x14ac:dyDescent="0.25"/>
    <row r="895" ht="12" customHeight="1" x14ac:dyDescent="0.25"/>
    <row r="896" ht="12" customHeight="1" x14ac:dyDescent="0.25"/>
    <row r="897" ht="12" customHeight="1" x14ac:dyDescent="0.25"/>
    <row r="898" ht="12" customHeight="1" x14ac:dyDescent="0.25"/>
    <row r="899" ht="12" customHeight="1" x14ac:dyDescent="0.25"/>
    <row r="900" ht="12" customHeight="1" x14ac:dyDescent="0.25"/>
    <row r="901" ht="12" customHeight="1" x14ac:dyDescent="0.25"/>
    <row r="902" ht="12" customHeight="1" x14ac:dyDescent="0.25"/>
    <row r="903" ht="12" customHeight="1" x14ac:dyDescent="0.25"/>
    <row r="904" ht="12" customHeight="1" x14ac:dyDescent="0.25"/>
    <row r="905" ht="12" customHeight="1" x14ac:dyDescent="0.25"/>
    <row r="906" ht="12" customHeight="1" x14ac:dyDescent="0.25"/>
    <row r="907" ht="12" customHeight="1" x14ac:dyDescent="0.25"/>
    <row r="908" ht="12" customHeight="1" x14ac:dyDescent="0.25"/>
    <row r="909" ht="12" customHeight="1" x14ac:dyDescent="0.25"/>
    <row r="910" ht="12" customHeight="1" x14ac:dyDescent="0.25"/>
    <row r="911" ht="12" customHeight="1" x14ac:dyDescent="0.25"/>
    <row r="912" ht="12" customHeight="1" x14ac:dyDescent="0.25"/>
    <row r="913" ht="12" customHeight="1" x14ac:dyDescent="0.25"/>
    <row r="914" ht="12" customHeight="1" x14ac:dyDescent="0.25"/>
    <row r="915" ht="12" customHeight="1" x14ac:dyDescent="0.25"/>
    <row r="916" ht="12" customHeight="1" x14ac:dyDescent="0.25"/>
    <row r="917" ht="12" customHeight="1" x14ac:dyDescent="0.25"/>
    <row r="918" ht="12" customHeight="1" x14ac:dyDescent="0.25"/>
    <row r="919" ht="12" customHeight="1" x14ac:dyDescent="0.25"/>
    <row r="920" ht="12" customHeight="1" x14ac:dyDescent="0.25"/>
    <row r="921" ht="12" customHeight="1" x14ac:dyDescent="0.25"/>
    <row r="922" ht="12" customHeight="1" x14ac:dyDescent="0.25"/>
    <row r="923" ht="12" customHeight="1" x14ac:dyDescent="0.25"/>
    <row r="924" ht="12" customHeight="1" x14ac:dyDescent="0.25"/>
    <row r="925" ht="12" customHeight="1" x14ac:dyDescent="0.25"/>
    <row r="926" ht="12" customHeight="1" x14ac:dyDescent="0.25"/>
    <row r="927" ht="12" customHeight="1" x14ac:dyDescent="0.25"/>
    <row r="928" ht="12" customHeight="1" x14ac:dyDescent="0.25"/>
    <row r="929" ht="12" customHeight="1" x14ac:dyDescent="0.25"/>
    <row r="930" ht="12" customHeight="1" x14ac:dyDescent="0.25"/>
    <row r="931" ht="12" customHeight="1" x14ac:dyDescent="0.25"/>
    <row r="932" ht="12" customHeight="1" x14ac:dyDescent="0.25"/>
    <row r="933" ht="12" customHeight="1" x14ac:dyDescent="0.25"/>
    <row r="934" ht="12" customHeight="1" x14ac:dyDescent="0.25"/>
    <row r="935" ht="12" customHeight="1" x14ac:dyDescent="0.25"/>
    <row r="936" ht="12" customHeight="1" x14ac:dyDescent="0.25"/>
    <row r="937" ht="12" customHeight="1" x14ac:dyDescent="0.25"/>
    <row r="938" ht="12" customHeight="1" x14ac:dyDescent="0.25"/>
    <row r="939" ht="12" customHeight="1" x14ac:dyDescent="0.25"/>
    <row r="940" ht="12" customHeight="1" x14ac:dyDescent="0.25"/>
    <row r="941" ht="12" customHeight="1" x14ac:dyDescent="0.25"/>
    <row r="942" ht="12" customHeight="1" x14ac:dyDescent="0.25"/>
    <row r="943" ht="12" customHeight="1" x14ac:dyDescent="0.25"/>
    <row r="944" ht="12" customHeight="1" x14ac:dyDescent="0.25"/>
    <row r="945" ht="12" customHeight="1" x14ac:dyDescent="0.25"/>
    <row r="946" ht="12" customHeight="1" x14ac:dyDescent="0.25"/>
    <row r="947" ht="12" customHeight="1" x14ac:dyDescent="0.25"/>
    <row r="948" ht="12" customHeight="1" x14ac:dyDescent="0.25"/>
    <row r="949" ht="12" customHeight="1" x14ac:dyDescent="0.25"/>
    <row r="950" ht="12" customHeight="1" x14ac:dyDescent="0.25"/>
    <row r="951" ht="12" customHeight="1" x14ac:dyDescent="0.25"/>
    <row r="952" ht="12" customHeight="1" x14ac:dyDescent="0.25"/>
    <row r="953" ht="12" customHeight="1" x14ac:dyDescent="0.25"/>
    <row r="954" ht="12" customHeight="1" x14ac:dyDescent="0.25"/>
    <row r="955" ht="12" customHeight="1" x14ac:dyDescent="0.25"/>
    <row r="956" ht="12" customHeight="1" x14ac:dyDescent="0.25"/>
    <row r="957" ht="12" customHeight="1" x14ac:dyDescent="0.25"/>
    <row r="958" ht="12" customHeight="1" x14ac:dyDescent="0.25"/>
    <row r="959" ht="12" customHeight="1" x14ac:dyDescent="0.25"/>
    <row r="960" ht="12" customHeight="1" x14ac:dyDescent="0.25"/>
    <row r="961" ht="12" customHeight="1" x14ac:dyDescent="0.25"/>
    <row r="962" ht="12" customHeight="1" x14ac:dyDescent="0.25"/>
    <row r="963" ht="12" customHeight="1" x14ac:dyDescent="0.25"/>
    <row r="964" ht="12" customHeight="1" x14ac:dyDescent="0.25"/>
    <row r="965" ht="12" customHeight="1" x14ac:dyDescent="0.25"/>
    <row r="966" ht="12" customHeight="1" x14ac:dyDescent="0.25"/>
    <row r="967" ht="12" customHeight="1" x14ac:dyDescent="0.25"/>
    <row r="968" ht="12" customHeight="1" x14ac:dyDescent="0.25"/>
    <row r="969" ht="12" customHeight="1" x14ac:dyDescent="0.25"/>
    <row r="970" ht="12" customHeight="1" x14ac:dyDescent="0.25"/>
    <row r="971" ht="12" customHeight="1" x14ac:dyDescent="0.25"/>
    <row r="972" ht="12" customHeight="1" x14ac:dyDescent="0.25"/>
    <row r="973" ht="12" customHeight="1" x14ac:dyDescent="0.25"/>
    <row r="974" ht="12" customHeight="1" x14ac:dyDescent="0.25"/>
    <row r="975" ht="12" customHeight="1" x14ac:dyDescent="0.25"/>
    <row r="976" ht="12" customHeight="1" x14ac:dyDescent="0.25"/>
    <row r="977" ht="12" customHeight="1" x14ac:dyDescent="0.25"/>
    <row r="978" ht="12" customHeight="1" x14ac:dyDescent="0.25"/>
    <row r="979" ht="12" customHeight="1" x14ac:dyDescent="0.25"/>
    <row r="980" ht="12" customHeight="1" x14ac:dyDescent="0.25"/>
    <row r="981" ht="12" customHeight="1" x14ac:dyDescent="0.25"/>
    <row r="982" ht="12" customHeight="1" x14ac:dyDescent="0.25"/>
    <row r="983" ht="12" customHeight="1" x14ac:dyDescent="0.25"/>
    <row r="984" ht="12" customHeight="1" x14ac:dyDescent="0.25"/>
    <row r="985" ht="12" customHeight="1" x14ac:dyDescent="0.25"/>
    <row r="986" ht="12" customHeight="1" x14ac:dyDescent="0.25"/>
    <row r="987" ht="12" customHeight="1" x14ac:dyDescent="0.25"/>
    <row r="988" ht="12" customHeight="1" x14ac:dyDescent="0.25"/>
    <row r="989" ht="12" customHeight="1" x14ac:dyDescent="0.25"/>
    <row r="990" ht="12" customHeight="1" x14ac:dyDescent="0.25"/>
    <row r="991" ht="12" customHeight="1" x14ac:dyDescent="0.25"/>
    <row r="992" ht="12" customHeight="1" x14ac:dyDescent="0.25"/>
    <row r="993" ht="12" customHeight="1" x14ac:dyDescent="0.25"/>
    <row r="994" ht="12" customHeight="1" x14ac:dyDescent="0.25"/>
    <row r="995" ht="12" customHeight="1" x14ac:dyDescent="0.25"/>
    <row r="996" ht="12" customHeight="1" x14ac:dyDescent="0.25"/>
    <row r="997" ht="12" customHeight="1" x14ac:dyDescent="0.25"/>
    <row r="998" ht="12" customHeight="1" x14ac:dyDescent="0.25"/>
    <row r="999" ht="12" customHeight="1" x14ac:dyDescent="0.25"/>
    <row r="1000" ht="12" customHeight="1" x14ac:dyDescent="0.25"/>
  </sheetData>
  <mergeCells count="2">
    <mergeCell ref="D2:H2"/>
    <mergeCell ref="D3:H3"/>
  </mergeCells>
  <pageMargins left="0.7" right="0.7" top="0.75" bottom="0.75" header="0" footer="0"/>
  <pageSetup orientation="landscape"/>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L1000"/>
  <sheetViews>
    <sheetView workbookViewId="0"/>
  </sheetViews>
  <sheetFormatPr baseColWidth="10" defaultColWidth="12.6328125" defaultRowHeight="15" customHeight="1" x14ac:dyDescent="0.25"/>
  <cols>
    <col min="1" max="1" width="9.08984375" customWidth="1"/>
    <col min="2" max="2" width="6.36328125" customWidth="1"/>
    <col min="3" max="9" width="5.36328125" customWidth="1"/>
    <col min="10" max="10" width="6" customWidth="1"/>
    <col min="11" max="12" width="5.36328125" customWidth="1"/>
    <col min="13" max="26" width="10.6328125" customWidth="1"/>
  </cols>
  <sheetData>
    <row r="1" spans="1:12" ht="12" customHeight="1" x14ac:dyDescent="0.25">
      <c r="A1" s="24" t="s">
        <v>39</v>
      </c>
      <c r="B1" s="25">
        <v>6</v>
      </c>
      <c r="C1" s="23"/>
      <c r="D1" s="23"/>
      <c r="E1" s="23"/>
      <c r="F1" s="23"/>
      <c r="G1" s="23"/>
      <c r="H1" s="23"/>
      <c r="I1" s="23"/>
      <c r="J1" s="23"/>
      <c r="K1" s="23"/>
      <c r="L1" s="23"/>
    </row>
    <row r="2" spans="1:12" ht="12" customHeight="1" x14ac:dyDescent="0.25">
      <c r="A2" s="26" t="s">
        <v>56</v>
      </c>
      <c r="B2" s="26">
        <v>10</v>
      </c>
      <c r="C2" s="23"/>
      <c r="D2" s="23"/>
      <c r="E2" s="23"/>
      <c r="F2" s="23"/>
      <c r="G2" s="23"/>
      <c r="H2" s="23"/>
      <c r="I2" s="23"/>
      <c r="J2" s="23"/>
      <c r="K2" s="23"/>
      <c r="L2" s="23"/>
    </row>
    <row r="3" spans="1:12" ht="12" customHeight="1" x14ac:dyDescent="0.25">
      <c r="A3" s="27" t="s">
        <v>41</v>
      </c>
      <c r="B3" s="28">
        <v>0.1</v>
      </c>
      <c r="C3" s="23"/>
      <c r="D3" s="23"/>
      <c r="E3" s="23"/>
      <c r="F3" s="23"/>
      <c r="G3" s="23"/>
      <c r="H3" s="23"/>
      <c r="I3" s="23"/>
      <c r="J3" s="23"/>
      <c r="K3" s="23"/>
      <c r="L3" s="23"/>
    </row>
    <row r="4" spans="1:12" ht="12" customHeight="1" x14ac:dyDescent="0.25">
      <c r="A4" s="43" t="s">
        <v>42</v>
      </c>
      <c r="B4" s="52">
        <v>0</v>
      </c>
      <c r="C4" s="23"/>
      <c r="D4" s="23"/>
      <c r="E4" s="23"/>
      <c r="F4" s="23"/>
      <c r="G4" s="23"/>
      <c r="H4" s="23"/>
      <c r="I4" s="23"/>
      <c r="J4" s="23"/>
      <c r="K4" s="23"/>
      <c r="L4" s="23"/>
    </row>
    <row r="5" spans="1:12" ht="12" customHeight="1" x14ac:dyDescent="0.25">
      <c r="A5" s="29" t="s">
        <v>43</v>
      </c>
      <c r="B5" s="30">
        <f>B2/(B3-B4)</f>
        <v>100</v>
      </c>
      <c r="C5" s="23"/>
      <c r="D5" s="23"/>
      <c r="E5" s="23"/>
      <c r="F5" s="23"/>
      <c r="G5" s="23"/>
      <c r="H5" s="23"/>
      <c r="I5" s="23"/>
      <c r="J5" s="23"/>
      <c r="K5" s="23"/>
      <c r="L5" s="23"/>
    </row>
    <row r="6" spans="1:12" ht="12" customHeight="1" x14ac:dyDescent="0.25">
      <c r="A6" s="23"/>
      <c r="B6" s="23"/>
      <c r="C6" s="23"/>
      <c r="D6" s="23"/>
      <c r="E6" s="23"/>
      <c r="F6" s="23"/>
      <c r="G6" s="23"/>
      <c r="H6" s="23"/>
      <c r="I6" s="23"/>
      <c r="J6" s="23"/>
      <c r="K6" s="23"/>
      <c r="L6" s="23"/>
    </row>
    <row r="7" spans="1:12" ht="12" customHeight="1" x14ac:dyDescent="0.25"/>
    <row r="8" spans="1:12" ht="12" customHeight="1" x14ac:dyDescent="0.25"/>
    <row r="9" spans="1:12" ht="12" customHeight="1" x14ac:dyDescent="0.25"/>
    <row r="10" spans="1:12" ht="12" customHeight="1" x14ac:dyDescent="0.25"/>
    <row r="11" spans="1:12" ht="12" customHeight="1" x14ac:dyDescent="0.25"/>
    <row r="12" spans="1:12" ht="12" customHeight="1" x14ac:dyDescent="0.25"/>
    <row r="13" spans="1:12" ht="12" customHeight="1" x14ac:dyDescent="0.25"/>
    <row r="14" spans="1:12" ht="12" customHeight="1" x14ac:dyDescent="0.25"/>
    <row r="15" spans="1:12" ht="12" customHeight="1" x14ac:dyDescent="0.25"/>
    <row r="16" spans="1:12" ht="12" customHeight="1" x14ac:dyDescent="0.25"/>
    <row r="17" ht="12" customHeight="1" x14ac:dyDescent="0.25"/>
    <row r="18" ht="12" customHeight="1" x14ac:dyDescent="0.25"/>
    <row r="19" ht="12" customHeight="1" x14ac:dyDescent="0.25"/>
    <row r="20" ht="12" customHeight="1" x14ac:dyDescent="0.25"/>
    <row r="21" ht="12" customHeight="1" x14ac:dyDescent="0.25"/>
    <row r="22" ht="12" customHeight="1" x14ac:dyDescent="0.25"/>
    <row r="23" ht="12" customHeight="1" x14ac:dyDescent="0.25"/>
    <row r="24" ht="12" customHeight="1" x14ac:dyDescent="0.25"/>
    <row r="25" ht="12" customHeight="1" x14ac:dyDescent="0.25"/>
    <row r="26" ht="12" customHeight="1" x14ac:dyDescent="0.25"/>
    <row r="27" ht="12" customHeight="1" x14ac:dyDescent="0.25"/>
    <row r="28" ht="12" customHeight="1" x14ac:dyDescent="0.25"/>
    <row r="29" ht="12" customHeight="1" x14ac:dyDescent="0.25"/>
    <row r="30" ht="12" customHeight="1" x14ac:dyDescent="0.25"/>
    <row r="31" ht="12" customHeight="1" x14ac:dyDescent="0.25"/>
    <row r="32" ht="12" customHeight="1" x14ac:dyDescent="0.25"/>
    <row r="33" ht="12" customHeight="1" x14ac:dyDescent="0.25"/>
    <row r="34" ht="12" customHeight="1" x14ac:dyDescent="0.25"/>
    <row r="35" ht="12" customHeight="1" x14ac:dyDescent="0.25"/>
    <row r="36" ht="12" customHeight="1" x14ac:dyDescent="0.25"/>
    <row r="37" ht="12" customHeight="1" x14ac:dyDescent="0.25"/>
    <row r="38" ht="12" customHeight="1" x14ac:dyDescent="0.25"/>
    <row r="39" ht="12" customHeight="1" x14ac:dyDescent="0.25"/>
    <row r="40" ht="12" customHeight="1" x14ac:dyDescent="0.25"/>
    <row r="41" ht="12" customHeight="1" x14ac:dyDescent="0.25"/>
    <row r="42" ht="12" customHeight="1" x14ac:dyDescent="0.25"/>
    <row r="43" ht="12" customHeight="1" x14ac:dyDescent="0.25"/>
    <row r="44" ht="12" customHeight="1" x14ac:dyDescent="0.25"/>
    <row r="45" ht="12" customHeight="1" x14ac:dyDescent="0.25"/>
    <row r="46" ht="12" customHeight="1" x14ac:dyDescent="0.25"/>
    <row r="47" ht="12" customHeight="1" x14ac:dyDescent="0.25"/>
    <row r="48" ht="12" customHeight="1" x14ac:dyDescent="0.25"/>
    <row r="49" ht="12" customHeight="1" x14ac:dyDescent="0.25"/>
    <row r="50" ht="12" customHeight="1" x14ac:dyDescent="0.25"/>
    <row r="51" ht="12" customHeight="1" x14ac:dyDescent="0.25"/>
    <row r="52" ht="12" customHeight="1" x14ac:dyDescent="0.25"/>
    <row r="53" ht="12" customHeight="1" x14ac:dyDescent="0.25"/>
    <row r="54" ht="12" customHeight="1" x14ac:dyDescent="0.25"/>
    <row r="55" ht="12" customHeight="1" x14ac:dyDescent="0.25"/>
    <row r="56" ht="12" customHeight="1" x14ac:dyDescent="0.25"/>
    <row r="57" ht="12" customHeight="1" x14ac:dyDescent="0.25"/>
    <row r="58" ht="12" customHeight="1" x14ac:dyDescent="0.25"/>
    <row r="59" ht="12" customHeight="1" x14ac:dyDescent="0.25"/>
    <row r="60" ht="12" customHeight="1" x14ac:dyDescent="0.25"/>
    <row r="61" ht="12" customHeight="1" x14ac:dyDescent="0.25"/>
    <row r="62" ht="12" customHeight="1" x14ac:dyDescent="0.25"/>
    <row r="63" ht="12" customHeight="1" x14ac:dyDescent="0.25"/>
    <row r="64" ht="12" customHeight="1" x14ac:dyDescent="0.25"/>
    <row r="65" ht="12" customHeight="1" x14ac:dyDescent="0.25"/>
    <row r="66" ht="12" customHeight="1" x14ac:dyDescent="0.25"/>
    <row r="67" ht="12" customHeight="1" x14ac:dyDescent="0.25"/>
    <row r="68" ht="12" customHeight="1" x14ac:dyDescent="0.25"/>
    <row r="69" ht="12" customHeight="1" x14ac:dyDescent="0.25"/>
    <row r="70" ht="12" customHeight="1" x14ac:dyDescent="0.25"/>
    <row r="71" ht="12" customHeight="1" x14ac:dyDescent="0.25"/>
    <row r="72" ht="12" customHeight="1" x14ac:dyDescent="0.25"/>
    <row r="73" ht="12" customHeight="1" x14ac:dyDescent="0.25"/>
    <row r="74" ht="12" customHeight="1" x14ac:dyDescent="0.25"/>
    <row r="75" ht="12" customHeight="1" x14ac:dyDescent="0.25"/>
    <row r="76" ht="12" customHeight="1" x14ac:dyDescent="0.25"/>
    <row r="77" ht="12" customHeight="1" x14ac:dyDescent="0.25"/>
    <row r="78" ht="12" customHeight="1" x14ac:dyDescent="0.25"/>
    <row r="79" ht="12" customHeight="1" x14ac:dyDescent="0.25"/>
    <row r="80" ht="12" customHeight="1" x14ac:dyDescent="0.25"/>
    <row r="81" ht="12" customHeight="1" x14ac:dyDescent="0.25"/>
    <row r="82" ht="12" customHeight="1" x14ac:dyDescent="0.25"/>
    <row r="83" ht="12" customHeight="1" x14ac:dyDescent="0.25"/>
    <row r="84" ht="12" customHeight="1" x14ac:dyDescent="0.25"/>
    <row r="85" ht="12" customHeight="1" x14ac:dyDescent="0.25"/>
    <row r="86" ht="12" customHeight="1" x14ac:dyDescent="0.25"/>
    <row r="87" ht="12" customHeight="1" x14ac:dyDescent="0.25"/>
    <row r="88" ht="12" customHeight="1" x14ac:dyDescent="0.25"/>
    <row r="89" ht="12" customHeight="1" x14ac:dyDescent="0.25"/>
    <row r="90" ht="12" customHeight="1" x14ac:dyDescent="0.25"/>
    <row r="91" ht="12" customHeight="1" x14ac:dyDescent="0.25"/>
    <row r="92" ht="12" customHeight="1" x14ac:dyDescent="0.25"/>
    <row r="93" ht="12" customHeight="1" x14ac:dyDescent="0.25"/>
    <row r="94" ht="12" customHeight="1" x14ac:dyDescent="0.25"/>
    <row r="95" ht="12" customHeight="1" x14ac:dyDescent="0.25"/>
    <row r="96" ht="12" customHeight="1" x14ac:dyDescent="0.25"/>
    <row r="97" ht="12" customHeight="1" x14ac:dyDescent="0.25"/>
    <row r="98" ht="12" customHeight="1" x14ac:dyDescent="0.25"/>
    <row r="99" ht="12" customHeight="1" x14ac:dyDescent="0.25"/>
    <row r="100" ht="12" customHeight="1" x14ac:dyDescent="0.25"/>
    <row r="101" ht="12" customHeight="1" x14ac:dyDescent="0.25"/>
    <row r="102" ht="12" customHeight="1" x14ac:dyDescent="0.25"/>
    <row r="103" ht="12" customHeight="1" x14ac:dyDescent="0.25"/>
    <row r="104" ht="12" customHeight="1" x14ac:dyDescent="0.25"/>
    <row r="105" ht="12" customHeight="1" x14ac:dyDescent="0.25"/>
    <row r="106" ht="12" customHeight="1" x14ac:dyDescent="0.25"/>
    <row r="107" ht="12" customHeight="1" x14ac:dyDescent="0.25"/>
    <row r="108" ht="12" customHeight="1" x14ac:dyDescent="0.25"/>
    <row r="109" ht="12" customHeight="1" x14ac:dyDescent="0.25"/>
    <row r="110" ht="12" customHeight="1" x14ac:dyDescent="0.25"/>
    <row r="111" ht="12" customHeight="1" x14ac:dyDescent="0.25"/>
    <row r="112" ht="12" customHeight="1" x14ac:dyDescent="0.25"/>
    <row r="113" ht="12" customHeight="1" x14ac:dyDescent="0.25"/>
    <row r="114" ht="12" customHeight="1" x14ac:dyDescent="0.25"/>
    <row r="115" ht="12" customHeight="1" x14ac:dyDescent="0.25"/>
    <row r="116" ht="12" customHeight="1" x14ac:dyDescent="0.25"/>
    <row r="117" ht="12" customHeight="1" x14ac:dyDescent="0.25"/>
    <row r="118" ht="12" customHeight="1" x14ac:dyDescent="0.25"/>
    <row r="119" ht="12" customHeight="1" x14ac:dyDescent="0.25"/>
    <row r="120" ht="12" customHeight="1" x14ac:dyDescent="0.25"/>
    <row r="121" ht="12" customHeight="1" x14ac:dyDescent="0.25"/>
    <row r="122" ht="12" customHeight="1" x14ac:dyDescent="0.25"/>
    <row r="123" ht="12" customHeight="1" x14ac:dyDescent="0.25"/>
    <row r="124" ht="12" customHeight="1" x14ac:dyDescent="0.25"/>
    <row r="125" ht="12" customHeight="1" x14ac:dyDescent="0.25"/>
    <row r="126" ht="12" customHeight="1" x14ac:dyDescent="0.25"/>
    <row r="127" ht="12" customHeight="1" x14ac:dyDescent="0.25"/>
    <row r="128" ht="12" customHeight="1" x14ac:dyDescent="0.25"/>
    <row r="129" ht="12" customHeight="1" x14ac:dyDescent="0.25"/>
    <row r="130" ht="12" customHeight="1" x14ac:dyDescent="0.25"/>
    <row r="131" ht="12" customHeight="1" x14ac:dyDescent="0.25"/>
    <row r="132" ht="12" customHeight="1" x14ac:dyDescent="0.25"/>
    <row r="133" ht="12" customHeight="1" x14ac:dyDescent="0.25"/>
    <row r="134" ht="12" customHeight="1" x14ac:dyDescent="0.25"/>
    <row r="135" ht="12" customHeight="1" x14ac:dyDescent="0.25"/>
    <row r="136" ht="12" customHeight="1" x14ac:dyDescent="0.25"/>
    <row r="137" ht="12" customHeight="1" x14ac:dyDescent="0.25"/>
    <row r="138" ht="12" customHeight="1" x14ac:dyDescent="0.25"/>
    <row r="139" ht="12" customHeight="1" x14ac:dyDescent="0.25"/>
    <row r="140" ht="12" customHeight="1" x14ac:dyDescent="0.25"/>
    <row r="141" ht="12" customHeight="1" x14ac:dyDescent="0.25"/>
    <row r="142" ht="12" customHeight="1" x14ac:dyDescent="0.25"/>
    <row r="143" ht="12" customHeight="1" x14ac:dyDescent="0.25"/>
    <row r="144" ht="12" customHeight="1" x14ac:dyDescent="0.25"/>
    <row r="145" ht="12" customHeight="1" x14ac:dyDescent="0.25"/>
    <row r="146" ht="12" customHeight="1" x14ac:dyDescent="0.25"/>
    <row r="147" ht="12" customHeight="1" x14ac:dyDescent="0.25"/>
    <row r="148" ht="12" customHeight="1" x14ac:dyDescent="0.25"/>
    <row r="149" ht="12" customHeight="1" x14ac:dyDescent="0.25"/>
    <row r="150" ht="12" customHeight="1" x14ac:dyDescent="0.25"/>
    <row r="151" ht="12" customHeight="1" x14ac:dyDescent="0.25"/>
    <row r="152" ht="12" customHeight="1" x14ac:dyDescent="0.25"/>
    <row r="153" ht="12" customHeight="1" x14ac:dyDescent="0.25"/>
    <row r="154" ht="12" customHeight="1" x14ac:dyDescent="0.25"/>
    <row r="155" ht="12" customHeight="1" x14ac:dyDescent="0.25"/>
    <row r="156" ht="12" customHeight="1" x14ac:dyDescent="0.25"/>
    <row r="157" ht="12" customHeight="1" x14ac:dyDescent="0.25"/>
    <row r="158" ht="12" customHeight="1" x14ac:dyDescent="0.25"/>
    <row r="159" ht="12" customHeight="1" x14ac:dyDescent="0.25"/>
    <row r="160" ht="12" customHeight="1" x14ac:dyDescent="0.25"/>
    <row r="161" ht="12" customHeight="1" x14ac:dyDescent="0.25"/>
    <row r="162" ht="12" customHeight="1" x14ac:dyDescent="0.25"/>
    <row r="163" ht="12" customHeight="1" x14ac:dyDescent="0.25"/>
    <row r="164" ht="12" customHeight="1" x14ac:dyDescent="0.25"/>
    <row r="165" ht="12" customHeight="1" x14ac:dyDescent="0.25"/>
    <row r="166" ht="12" customHeight="1" x14ac:dyDescent="0.25"/>
    <row r="167" ht="12" customHeight="1" x14ac:dyDescent="0.25"/>
    <row r="168" ht="12" customHeight="1" x14ac:dyDescent="0.25"/>
    <row r="169" ht="12" customHeight="1" x14ac:dyDescent="0.25"/>
    <row r="170" ht="12" customHeight="1" x14ac:dyDescent="0.25"/>
    <row r="171" ht="12" customHeight="1" x14ac:dyDescent="0.25"/>
    <row r="172" ht="12" customHeight="1" x14ac:dyDescent="0.25"/>
    <row r="173" ht="12" customHeight="1" x14ac:dyDescent="0.25"/>
    <row r="174" ht="12" customHeight="1" x14ac:dyDescent="0.25"/>
    <row r="175" ht="12" customHeight="1" x14ac:dyDescent="0.25"/>
    <row r="176" ht="12" customHeight="1" x14ac:dyDescent="0.25"/>
    <row r="177" ht="12" customHeight="1" x14ac:dyDescent="0.25"/>
    <row r="178" ht="12" customHeight="1" x14ac:dyDescent="0.25"/>
    <row r="179" ht="12" customHeight="1" x14ac:dyDescent="0.25"/>
    <row r="180" ht="12" customHeight="1" x14ac:dyDescent="0.25"/>
    <row r="181" ht="12" customHeight="1" x14ac:dyDescent="0.25"/>
    <row r="182" ht="12" customHeight="1" x14ac:dyDescent="0.25"/>
    <row r="183" ht="12" customHeight="1" x14ac:dyDescent="0.25"/>
    <row r="184" ht="12" customHeight="1" x14ac:dyDescent="0.25"/>
    <row r="185" ht="12" customHeight="1" x14ac:dyDescent="0.25"/>
    <row r="186" ht="12" customHeight="1" x14ac:dyDescent="0.25"/>
    <row r="187" ht="12" customHeight="1" x14ac:dyDescent="0.25"/>
    <row r="188" ht="12" customHeight="1" x14ac:dyDescent="0.25"/>
    <row r="189" ht="12" customHeight="1" x14ac:dyDescent="0.25"/>
    <row r="190" ht="12" customHeight="1" x14ac:dyDescent="0.25"/>
    <row r="191" ht="12" customHeight="1" x14ac:dyDescent="0.25"/>
    <row r="192" ht="12" customHeight="1" x14ac:dyDescent="0.25"/>
    <row r="193" ht="12" customHeight="1" x14ac:dyDescent="0.25"/>
    <row r="194" ht="12" customHeight="1" x14ac:dyDescent="0.25"/>
    <row r="195" ht="12" customHeight="1" x14ac:dyDescent="0.25"/>
    <row r="196" ht="12" customHeight="1" x14ac:dyDescent="0.25"/>
    <row r="197" ht="12" customHeight="1" x14ac:dyDescent="0.25"/>
    <row r="198" ht="12" customHeight="1" x14ac:dyDescent="0.25"/>
    <row r="199" ht="12" customHeight="1" x14ac:dyDescent="0.25"/>
    <row r="200" ht="12" customHeight="1" x14ac:dyDescent="0.25"/>
    <row r="201" ht="12" customHeight="1" x14ac:dyDescent="0.25"/>
    <row r="202" ht="12" customHeight="1" x14ac:dyDescent="0.25"/>
    <row r="203" ht="12" customHeight="1" x14ac:dyDescent="0.25"/>
    <row r="204" ht="12" customHeight="1" x14ac:dyDescent="0.25"/>
    <row r="205" ht="12" customHeight="1" x14ac:dyDescent="0.25"/>
    <row r="206" ht="12" customHeight="1" x14ac:dyDescent="0.25"/>
    <row r="207" ht="12" customHeight="1" x14ac:dyDescent="0.25"/>
    <row r="208" ht="12" customHeight="1" x14ac:dyDescent="0.25"/>
    <row r="209" ht="12" customHeight="1" x14ac:dyDescent="0.25"/>
    <row r="210" ht="12" customHeight="1" x14ac:dyDescent="0.25"/>
    <row r="211" ht="12" customHeight="1" x14ac:dyDescent="0.25"/>
    <row r="212" ht="12" customHeight="1" x14ac:dyDescent="0.25"/>
    <row r="213" ht="12" customHeight="1" x14ac:dyDescent="0.25"/>
    <row r="214" ht="12" customHeight="1" x14ac:dyDescent="0.25"/>
    <row r="215" ht="12" customHeight="1" x14ac:dyDescent="0.25"/>
    <row r="216" ht="12" customHeight="1" x14ac:dyDescent="0.25"/>
    <row r="217" ht="12" customHeight="1" x14ac:dyDescent="0.25"/>
    <row r="218" ht="12" customHeight="1" x14ac:dyDescent="0.25"/>
    <row r="219" ht="12" customHeight="1" x14ac:dyDescent="0.25"/>
    <row r="220" ht="12" customHeight="1" x14ac:dyDescent="0.25"/>
    <row r="221" ht="12" customHeight="1" x14ac:dyDescent="0.25"/>
    <row r="222" ht="12" customHeight="1" x14ac:dyDescent="0.25"/>
    <row r="223" ht="12" customHeight="1" x14ac:dyDescent="0.25"/>
    <row r="224" ht="12" customHeight="1" x14ac:dyDescent="0.25"/>
    <row r="225" ht="12" customHeight="1" x14ac:dyDescent="0.25"/>
    <row r="226" ht="12" customHeight="1" x14ac:dyDescent="0.25"/>
    <row r="227" ht="12" customHeight="1" x14ac:dyDescent="0.25"/>
    <row r="228" ht="12" customHeight="1" x14ac:dyDescent="0.25"/>
    <row r="229" ht="12" customHeight="1" x14ac:dyDescent="0.25"/>
    <row r="230" ht="12" customHeight="1" x14ac:dyDescent="0.25"/>
    <row r="231" ht="12" customHeight="1" x14ac:dyDescent="0.25"/>
    <row r="232" ht="12" customHeight="1" x14ac:dyDescent="0.25"/>
    <row r="233" ht="12" customHeight="1" x14ac:dyDescent="0.25"/>
    <row r="234" ht="12" customHeight="1" x14ac:dyDescent="0.25"/>
    <row r="235" ht="12" customHeight="1" x14ac:dyDescent="0.25"/>
    <row r="236" ht="12" customHeight="1" x14ac:dyDescent="0.25"/>
    <row r="237" ht="12" customHeight="1" x14ac:dyDescent="0.25"/>
    <row r="238" ht="12" customHeight="1" x14ac:dyDescent="0.25"/>
    <row r="239" ht="12" customHeight="1" x14ac:dyDescent="0.25"/>
    <row r="240" ht="12" customHeight="1" x14ac:dyDescent="0.25"/>
    <row r="241" ht="12" customHeight="1" x14ac:dyDescent="0.25"/>
    <row r="242" ht="12" customHeight="1" x14ac:dyDescent="0.25"/>
    <row r="243" ht="12" customHeight="1" x14ac:dyDescent="0.25"/>
    <row r="244" ht="12" customHeight="1" x14ac:dyDescent="0.25"/>
    <row r="245" ht="12" customHeight="1" x14ac:dyDescent="0.25"/>
    <row r="246" ht="12" customHeight="1" x14ac:dyDescent="0.25"/>
    <row r="247" ht="12" customHeight="1" x14ac:dyDescent="0.25"/>
    <row r="248" ht="12" customHeight="1" x14ac:dyDescent="0.25"/>
    <row r="249" ht="12" customHeight="1" x14ac:dyDescent="0.25"/>
    <row r="250" ht="12" customHeight="1" x14ac:dyDescent="0.25"/>
    <row r="251" ht="12" customHeight="1" x14ac:dyDescent="0.25"/>
    <row r="252" ht="12" customHeight="1" x14ac:dyDescent="0.25"/>
    <row r="253" ht="12" customHeight="1" x14ac:dyDescent="0.25"/>
    <row r="254" ht="12" customHeight="1" x14ac:dyDescent="0.25"/>
    <row r="255" ht="12" customHeight="1" x14ac:dyDescent="0.25"/>
    <row r="256" ht="12" customHeight="1" x14ac:dyDescent="0.25"/>
    <row r="257" ht="12" customHeight="1" x14ac:dyDescent="0.25"/>
    <row r="258" ht="12" customHeight="1" x14ac:dyDescent="0.25"/>
    <row r="259" ht="12" customHeight="1" x14ac:dyDescent="0.25"/>
    <row r="260" ht="12" customHeight="1" x14ac:dyDescent="0.25"/>
    <row r="261" ht="12" customHeight="1" x14ac:dyDescent="0.25"/>
    <row r="262" ht="12" customHeight="1" x14ac:dyDescent="0.25"/>
    <row r="263" ht="12" customHeight="1" x14ac:dyDescent="0.25"/>
    <row r="264" ht="12" customHeight="1" x14ac:dyDescent="0.25"/>
    <row r="265" ht="12" customHeight="1" x14ac:dyDescent="0.25"/>
    <row r="266" ht="12" customHeight="1" x14ac:dyDescent="0.25"/>
    <row r="267" ht="12" customHeight="1" x14ac:dyDescent="0.25"/>
    <row r="268" ht="12" customHeight="1" x14ac:dyDescent="0.25"/>
    <row r="269" ht="12" customHeight="1" x14ac:dyDescent="0.25"/>
    <row r="270" ht="12" customHeight="1" x14ac:dyDescent="0.25"/>
    <row r="271" ht="12" customHeight="1" x14ac:dyDescent="0.25"/>
    <row r="272" ht="12" customHeight="1" x14ac:dyDescent="0.25"/>
    <row r="273" ht="12" customHeight="1" x14ac:dyDescent="0.25"/>
    <row r="274" ht="12" customHeight="1" x14ac:dyDescent="0.25"/>
    <row r="275" ht="12" customHeight="1" x14ac:dyDescent="0.25"/>
    <row r="276" ht="12" customHeight="1" x14ac:dyDescent="0.25"/>
    <row r="277" ht="12" customHeight="1" x14ac:dyDescent="0.25"/>
    <row r="278" ht="12" customHeight="1" x14ac:dyDescent="0.25"/>
    <row r="279" ht="12" customHeight="1" x14ac:dyDescent="0.25"/>
    <row r="280" ht="12" customHeight="1" x14ac:dyDescent="0.25"/>
    <row r="281" ht="12" customHeight="1" x14ac:dyDescent="0.25"/>
    <row r="282" ht="12" customHeight="1" x14ac:dyDescent="0.25"/>
    <row r="283" ht="12" customHeight="1" x14ac:dyDescent="0.25"/>
    <row r="284" ht="12" customHeight="1" x14ac:dyDescent="0.25"/>
    <row r="285" ht="12" customHeight="1" x14ac:dyDescent="0.25"/>
    <row r="286" ht="12" customHeight="1" x14ac:dyDescent="0.25"/>
    <row r="287" ht="12" customHeight="1" x14ac:dyDescent="0.25"/>
    <row r="288" ht="12" customHeight="1" x14ac:dyDescent="0.25"/>
    <row r="289" ht="12" customHeight="1" x14ac:dyDescent="0.25"/>
    <row r="290" ht="12" customHeight="1" x14ac:dyDescent="0.25"/>
    <row r="291" ht="12" customHeight="1" x14ac:dyDescent="0.25"/>
    <row r="292" ht="12" customHeight="1" x14ac:dyDescent="0.25"/>
    <row r="293" ht="12" customHeight="1" x14ac:dyDescent="0.25"/>
    <row r="294" ht="12" customHeight="1" x14ac:dyDescent="0.25"/>
    <row r="295" ht="12" customHeight="1" x14ac:dyDescent="0.25"/>
    <row r="296" ht="12" customHeight="1" x14ac:dyDescent="0.25"/>
    <row r="297" ht="12" customHeight="1" x14ac:dyDescent="0.25"/>
    <row r="298" ht="12" customHeight="1" x14ac:dyDescent="0.25"/>
    <row r="299" ht="12" customHeight="1" x14ac:dyDescent="0.25"/>
    <row r="300" ht="12" customHeight="1" x14ac:dyDescent="0.25"/>
    <row r="301" ht="12" customHeight="1" x14ac:dyDescent="0.25"/>
    <row r="302" ht="12" customHeight="1" x14ac:dyDescent="0.25"/>
    <row r="303" ht="12" customHeight="1" x14ac:dyDescent="0.25"/>
    <row r="304" ht="12" customHeight="1" x14ac:dyDescent="0.25"/>
    <row r="305" ht="12" customHeight="1" x14ac:dyDescent="0.25"/>
    <row r="306" ht="12" customHeight="1" x14ac:dyDescent="0.25"/>
    <row r="307" ht="12" customHeight="1" x14ac:dyDescent="0.25"/>
    <row r="308" ht="12" customHeight="1" x14ac:dyDescent="0.25"/>
    <row r="309" ht="12" customHeight="1" x14ac:dyDescent="0.25"/>
    <row r="310" ht="12" customHeight="1" x14ac:dyDescent="0.25"/>
    <row r="311" ht="12" customHeight="1" x14ac:dyDescent="0.25"/>
    <row r="312" ht="12" customHeight="1" x14ac:dyDescent="0.25"/>
    <row r="313" ht="12" customHeight="1" x14ac:dyDescent="0.25"/>
    <row r="314" ht="12" customHeight="1" x14ac:dyDescent="0.25"/>
    <row r="315" ht="12" customHeight="1" x14ac:dyDescent="0.25"/>
    <row r="316" ht="12" customHeight="1" x14ac:dyDescent="0.25"/>
    <row r="317" ht="12" customHeight="1" x14ac:dyDescent="0.25"/>
    <row r="318" ht="12" customHeight="1" x14ac:dyDescent="0.25"/>
    <row r="319" ht="12" customHeight="1" x14ac:dyDescent="0.25"/>
    <row r="320" ht="12" customHeight="1" x14ac:dyDescent="0.25"/>
    <row r="321" ht="12" customHeight="1" x14ac:dyDescent="0.25"/>
    <row r="322" ht="12" customHeight="1" x14ac:dyDescent="0.25"/>
    <row r="323" ht="12" customHeight="1" x14ac:dyDescent="0.25"/>
    <row r="324" ht="12" customHeight="1" x14ac:dyDescent="0.25"/>
    <row r="325" ht="12" customHeight="1" x14ac:dyDescent="0.25"/>
    <row r="326" ht="12" customHeight="1" x14ac:dyDescent="0.25"/>
    <row r="327" ht="12" customHeight="1" x14ac:dyDescent="0.25"/>
    <row r="328" ht="12" customHeight="1" x14ac:dyDescent="0.25"/>
    <row r="329" ht="12" customHeight="1" x14ac:dyDescent="0.25"/>
    <row r="330" ht="12" customHeight="1" x14ac:dyDescent="0.25"/>
    <row r="331" ht="12" customHeight="1" x14ac:dyDescent="0.25"/>
    <row r="332" ht="12" customHeight="1" x14ac:dyDescent="0.25"/>
    <row r="333" ht="12" customHeight="1" x14ac:dyDescent="0.25"/>
    <row r="334" ht="12" customHeight="1" x14ac:dyDescent="0.25"/>
    <row r="335" ht="12" customHeight="1" x14ac:dyDescent="0.25"/>
    <row r="336" ht="12" customHeight="1" x14ac:dyDescent="0.25"/>
    <row r="337" ht="12" customHeight="1" x14ac:dyDescent="0.25"/>
    <row r="338" ht="12" customHeight="1" x14ac:dyDescent="0.25"/>
    <row r="339" ht="12" customHeight="1" x14ac:dyDescent="0.25"/>
    <row r="340" ht="12" customHeight="1" x14ac:dyDescent="0.25"/>
    <row r="341" ht="12" customHeight="1" x14ac:dyDescent="0.25"/>
    <row r="342" ht="12" customHeight="1" x14ac:dyDescent="0.25"/>
    <row r="343" ht="12" customHeight="1" x14ac:dyDescent="0.25"/>
    <row r="344" ht="12" customHeight="1" x14ac:dyDescent="0.25"/>
    <row r="345" ht="12" customHeight="1" x14ac:dyDescent="0.25"/>
    <row r="346" ht="12" customHeight="1" x14ac:dyDescent="0.25"/>
    <row r="347" ht="12" customHeight="1" x14ac:dyDescent="0.25"/>
    <row r="348" ht="12" customHeight="1" x14ac:dyDescent="0.25"/>
    <row r="349" ht="12" customHeight="1" x14ac:dyDescent="0.25"/>
    <row r="350" ht="12" customHeight="1" x14ac:dyDescent="0.25"/>
    <row r="351" ht="12" customHeight="1" x14ac:dyDescent="0.25"/>
    <row r="352" ht="12" customHeight="1" x14ac:dyDescent="0.25"/>
    <row r="353" ht="12" customHeight="1" x14ac:dyDescent="0.25"/>
    <row r="354" ht="12" customHeight="1" x14ac:dyDescent="0.25"/>
    <row r="355" ht="12" customHeight="1" x14ac:dyDescent="0.25"/>
    <row r="356" ht="12" customHeight="1" x14ac:dyDescent="0.25"/>
    <row r="357" ht="12" customHeight="1" x14ac:dyDescent="0.25"/>
    <row r="358" ht="12" customHeight="1" x14ac:dyDescent="0.25"/>
    <row r="359" ht="12" customHeight="1" x14ac:dyDescent="0.25"/>
    <row r="360" ht="12" customHeight="1" x14ac:dyDescent="0.25"/>
    <row r="361" ht="12" customHeight="1" x14ac:dyDescent="0.25"/>
    <row r="362" ht="12" customHeight="1" x14ac:dyDescent="0.25"/>
    <row r="363" ht="12" customHeight="1" x14ac:dyDescent="0.25"/>
    <row r="364" ht="12" customHeight="1" x14ac:dyDescent="0.25"/>
    <row r="365" ht="12" customHeight="1" x14ac:dyDescent="0.25"/>
    <row r="366" ht="12" customHeight="1" x14ac:dyDescent="0.25"/>
    <row r="367" ht="12" customHeight="1" x14ac:dyDescent="0.25"/>
    <row r="368" ht="12" customHeight="1" x14ac:dyDescent="0.25"/>
    <row r="369" ht="12" customHeight="1" x14ac:dyDescent="0.25"/>
    <row r="370" ht="12" customHeight="1" x14ac:dyDescent="0.25"/>
    <row r="371" ht="12" customHeight="1" x14ac:dyDescent="0.25"/>
    <row r="372" ht="12" customHeight="1" x14ac:dyDescent="0.25"/>
    <row r="373" ht="12" customHeight="1" x14ac:dyDescent="0.25"/>
    <row r="374" ht="12" customHeight="1" x14ac:dyDescent="0.25"/>
    <row r="375" ht="12" customHeight="1" x14ac:dyDescent="0.25"/>
    <row r="376" ht="12" customHeight="1" x14ac:dyDescent="0.25"/>
    <row r="377" ht="12" customHeight="1" x14ac:dyDescent="0.25"/>
    <row r="378" ht="12" customHeight="1" x14ac:dyDescent="0.25"/>
    <row r="379" ht="12" customHeight="1" x14ac:dyDescent="0.25"/>
    <row r="380" ht="12" customHeight="1" x14ac:dyDescent="0.25"/>
    <row r="381" ht="12" customHeight="1" x14ac:dyDescent="0.25"/>
    <row r="382" ht="12" customHeight="1" x14ac:dyDescent="0.25"/>
    <row r="383" ht="12" customHeight="1" x14ac:dyDescent="0.25"/>
    <row r="384" ht="12" customHeight="1" x14ac:dyDescent="0.25"/>
    <row r="385" ht="12" customHeight="1" x14ac:dyDescent="0.25"/>
    <row r="386" ht="12" customHeight="1" x14ac:dyDescent="0.25"/>
    <row r="387" ht="12" customHeight="1" x14ac:dyDescent="0.25"/>
    <row r="388" ht="12" customHeight="1" x14ac:dyDescent="0.25"/>
    <row r="389" ht="12" customHeight="1" x14ac:dyDescent="0.25"/>
    <row r="390" ht="12" customHeight="1" x14ac:dyDescent="0.25"/>
    <row r="391" ht="12" customHeight="1" x14ac:dyDescent="0.25"/>
    <row r="392" ht="12" customHeight="1" x14ac:dyDescent="0.25"/>
    <row r="393" ht="12" customHeight="1" x14ac:dyDescent="0.25"/>
    <row r="394" ht="12" customHeight="1" x14ac:dyDescent="0.25"/>
    <row r="395" ht="12" customHeight="1" x14ac:dyDescent="0.25"/>
    <row r="396" ht="12" customHeight="1" x14ac:dyDescent="0.25"/>
    <row r="397" ht="12" customHeight="1" x14ac:dyDescent="0.25"/>
    <row r="398" ht="12" customHeight="1" x14ac:dyDescent="0.25"/>
    <row r="399" ht="12" customHeight="1" x14ac:dyDescent="0.25"/>
    <row r="400" ht="12" customHeight="1" x14ac:dyDescent="0.25"/>
    <row r="401" ht="12" customHeight="1" x14ac:dyDescent="0.25"/>
    <row r="402" ht="12" customHeight="1" x14ac:dyDescent="0.25"/>
    <row r="403" ht="12" customHeight="1" x14ac:dyDescent="0.25"/>
    <row r="404" ht="12" customHeight="1" x14ac:dyDescent="0.25"/>
    <row r="405" ht="12" customHeight="1" x14ac:dyDescent="0.25"/>
    <row r="406" ht="12" customHeight="1" x14ac:dyDescent="0.25"/>
    <row r="407" ht="12" customHeight="1" x14ac:dyDescent="0.25"/>
    <row r="408" ht="12" customHeight="1" x14ac:dyDescent="0.25"/>
    <row r="409" ht="12" customHeight="1" x14ac:dyDescent="0.25"/>
    <row r="410" ht="12" customHeight="1" x14ac:dyDescent="0.25"/>
    <row r="411" ht="12" customHeight="1" x14ac:dyDescent="0.25"/>
    <row r="412" ht="12" customHeight="1" x14ac:dyDescent="0.25"/>
    <row r="413" ht="12" customHeight="1" x14ac:dyDescent="0.25"/>
    <row r="414" ht="12" customHeight="1" x14ac:dyDescent="0.25"/>
    <row r="415" ht="12" customHeight="1" x14ac:dyDescent="0.25"/>
    <row r="416" ht="12" customHeight="1" x14ac:dyDescent="0.25"/>
    <row r="417" ht="12" customHeight="1" x14ac:dyDescent="0.25"/>
    <row r="418" ht="12" customHeight="1" x14ac:dyDescent="0.25"/>
    <row r="419" ht="12" customHeight="1" x14ac:dyDescent="0.25"/>
    <row r="420" ht="12" customHeight="1" x14ac:dyDescent="0.25"/>
    <row r="421" ht="12" customHeight="1" x14ac:dyDescent="0.25"/>
    <row r="422" ht="12" customHeight="1" x14ac:dyDescent="0.25"/>
    <row r="423" ht="12" customHeight="1" x14ac:dyDescent="0.25"/>
    <row r="424" ht="12" customHeight="1" x14ac:dyDescent="0.25"/>
    <row r="425" ht="12" customHeight="1" x14ac:dyDescent="0.25"/>
    <row r="426" ht="12" customHeight="1" x14ac:dyDescent="0.25"/>
    <row r="427" ht="12" customHeight="1" x14ac:dyDescent="0.25"/>
    <row r="428" ht="12" customHeight="1" x14ac:dyDescent="0.25"/>
    <row r="429" ht="12" customHeight="1" x14ac:dyDescent="0.25"/>
    <row r="430" ht="12" customHeight="1" x14ac:dyDescent="0.25"/>
    <row r="431" ht="12" customHeight="1" x14ac:dyDescent="0.25"/>
    <row r="432" ht="12" customHeight="1" x14ac:dyDescent="0.25"/>
    <row r="433" ht="12" customHeight="1" x14ac:dyDescent="0.25"/>
    <row r="434" ht="12" customHeight="1" x14ac:dyDescent="0.25"/>
    <row r="435" ht="12" customHeight="1" x14ac:dyDescent="0.25"/>
    <row r="436" ht="12" customHeight="1" x14ac:dyDescent="0.25"/>
    <row r="437" ht="12" customHeight="1" x14ac:dyDescent="0.25"/>
    <row r="438" ht="12" customHeight="1" x14ac:dyDescent="0.25"/>
    <row r="439" ht="12" customHeight="1" x14ac:dyDescent="0.25"/>
    <row r="440" ht="12" customHeight="1" x14ac:dyDescent="0.25"/>
    <row r="441" ht="12" customHeight="1" x14ac:dyDescent="0.25"/>
    <row r="442" ht="12" customHeight="1" x14ac:dyDescent="0.25"/>
    <row r="443" ht="12" customHeight="1" x14ac:dyDescent="0.25"/>
    <row r="444" ht="12" customHeight="1" x14ac:dyDescent="0.25"/>
    <row r="445" ht="12" customHeight="1" x14ac:dyDescent="0.25"/>
    <row r="446" ht="12" customHeight="1" x14ac:dyDescent="0.25"/>
    <row r="447" ht="12" customHeight="1" x14ac:dyDescent="0.25"/>
    <row r="448" ht="12" customHeight="1" x14ac:dyDescent="0.25"/>
    <row r="449" ht="12" customHeight="1" x14ac:dyDescent="0.25"/>
    <row r="450" ht="12" customHeight="1" x14ac:dyDescent="0.25"/>
    <row r="451" ht="12" customHeight="1" x14ac:dyDescent="0.25"/>
    <row r="452" ht="12" customHeight="1" x14ac:dyDescent="0.25"/>
    <row r="453" ht="12" customHeight="1" x14ac:dyDescent="0.25"/>
    <row r="454" ht="12" customHeight="1" x14ac:dyDescent="0.25"/>
    <row r="455" ht="12" customHeight="1" x14ac:dyDescent="0.25"/>
    <row r="456" ht="12" customHeight="1" x14ac:dyDescent="0.25"/>
    <row r="457" ht="12" customHeight="1" x14ac:dyDescent="0.25"/>
    <row r="458" ht="12" customHeight="1" x14ac:dyDescent="0.25"/>
    <row r="459" ht="12" customHeight="1" x14ac:dyDescent="0.25"/>
    <row r="460" ht="12" customHeight="1" x14ac:dyDescent="0.25"/>
    <row r="461" ht="12" customHeight="1" x14ac:dyDescent="0.25"/>
    <row r="462" ht="12" customHeight="1" x14ac:dyDescent="0.25"/>
    <row r="463" ht="12" customHeight="1" x14ac:dyDescent="0.25"/>
    <row r="464" ht="12" customHeight="1" x14ac:dyDescent="0.25"/>
    <row r="465" ht="12" customHeight="1" x14ac:dyDescent="0.25"/>
    <row r="466" ht="12" customHeight="1" x14ac:dyDescent="0.25"/>
    <row r="467" ht="12" customHeight="1" x14ac:dyDescent="0.25"/>
    <row r="468" ht="12" customHeight="1" x14ac:dyDescent="0.25"/>
    <row r="469" ht="12" customHeight="1" x14ac:dyDescent="0.25"/>
    <row r="470" ht="12" customHeight="1" x14ac:dyDescent="0.25"/>
    <row r="471" ht="12" customHeight="1" x14ac:dyDescent="0.25"/>
    <row r="472" ht="12" customHeight="1" x14ac:dyDescent="0.25"/>
    <row r="473" ht="12" customHeight="1" x14ac:dyDescent="0.25"/>
    <row r="474" ht="12" customHeight="1" x14ac:dyDescent="0.25"/>
    <row r="475" ht="12" customHeight="1" x14ac:dyDescent="0.25"/>
    <row r="476" ht="12" customHeight="1" x14ac:dyDescent="0.25"/>
    <row r="477" ht="12" customHeight="1" x14ac:dyDescent="0.25"/>
    <row r="478" ht="12" customHeight="1" x14ac:dyDescent="0.25"/>
    <row r="479" ht="12" customHeight="1" x14ac:dyDescent="0.25"/>
    <row r="480" ht="12" customHeight="1" x14ac:dyDescent="0.25"/>
    <row r="481" ht="12" customHeight="1" x14ac:dyDescent="0.25"/>
    <row r="482" ht="12" customHeight="1" x14ac:dyDescent="0.25"/>
    <row r="483" ht="12" customHeight="1" x14ac:dyDescent="0.25"/>
    <row r="484" ht="12" customHeight="1" x14ac:dyDescent="0.25"/>
    <row r="485" ht="12" customHeight="1" x14ac:dyDescent="0.25"/>
    <row r="486" ht="12" customHeight="1" x14ac:dyDescent="0.25"/>
    <row r="487" ht="12" customHeight="1" x14ac:dyDescent="0.25"/>
    <row r="488" ht="12" customHeight="1" x14ac:dyDescent="0.25"/>
    <row r="489" ht="12" customHeight="1" x14ac:dyDescent="0.25"/>
    <row r="490" ht="12" customHeight="1" x14ac:dyDescent="0.25"/>
    <row r="491" ht="12" customHeight="1" x14ac:dyDescent="0.25"/>
    <row r="492" ht="12" customHeight="1" x14ac:dyDescent="0.25"/>
    <row r="493" ht="12" customHeight="1" x14ac:dyDescent="0.25"/>
    <row r="494" ht="12" customHeight="1" x14ac:dyDescent="0.25"/>
    <row r="495" ht="12" customHeight="1" x14ac:dyDescent="0.25"/>
    <row r="496" ht="12" customHeight="1" x14ac:dyDescent="0.25"/>
    <row r="497" ht="12" customHeight="1" x14ac:dyDescent="0.25"/>
    <row r="498" ht="12" customHeight="1" x14ac:dyDescent="0.25"/>
    <row r="499" ht="12" customHeight="1" x14ac:dyDescent="0.25"/>
    <row r="500" ht="12" customHeight="1" x14ac:dyDescent="0.25"/>
    <row r="501" ht="12" customHeight="1" x14ac:dyDescent="0.25"/>
    <row r="502" ht="12" customHeight="1" x14ac:dyDescent="0.25"/>
    <row r="503" ht="12" customHeight="1" x14ac:dyDescent="0.25"/>
    <row r="504" ht="12" customHeight="1" x14ac:dyDescent="0.25"/>
    <row r="505" ht="12" customHeight="1" x14ac:dyDescent="0.25"/>
    <row r="506" ht="12" customHeight="1" x14ac:dyDescent="0.25"/>
    <row r="507" ht="12" customHeight="1" x14ac:dyDescent="0.25"/>
    <row r="508" ht="12" customHeight="1" x14ac:dyDescent="0.25"/>
    <row r="509" ht="12" customHeight="1" x14ac:dyDescent="0.25"/>
    <row r="510" ht="12" customHeight="1" x14ac:dyDescent="0.25"/>
    <row r="511" ht="12" customHeight="1" x14ac:dyDescent="0.25"/>
    <row r="512" ht="12" customHeight="1" x14ac:dyDescent="0.25"/>
    <row r="513" ht="12" customHeight="1" x14ac:dyDescent="0.25"/>
    <row r="514" ht="12" customHeight="1" x14ac:dyDescent="0.25"/>
    <row r="515" ht="12" customHeight="1" x14ac:dyDescent="0.25"/>
    <row r="516" ht="12" customHeight="1" x14ac:dyDescent="0.25"/>
    <row r="517" ht="12" customHeight="1" x14ac:dyDescent="0.25"/>
    <row r="518" ht="12" customHeight="1" x14ac:dyDescent="0.25"/>
    <row r="519" ht="12" customHeight="1" x14ac:dyDescent="0.25"/>
    <row r="520" ht="12" customHeight="1" x14ac:dyDescent="0.25"/>
    <row r="521" ht="12" customHeight="1" x14ac:dyDescent="0.25"/>
    <row r="522" ht="12" customHeight="1" x14ac:dyDescent="0.25"/>
    <row r="523" ht="12" customHeight="1" x14ac:dyDescent="0.25"/>
    <row r="524" ht="12" customHeight="1" x14ac:dyDescent="0.25"/>
    <row r="525" ht="12" customHeight="1" x14ac:dyDescent="0.25"/>
    <row r="526" ht="12" customHeight="1" x14ac:dyDescent="0.25"/>
    <row r="527" ht="12" customHeight="1" x14ac:dyDescent="0.25"/>
    <row r="528" ht="12" customHeight="1" x14ac:dyDescent="0.25"/>
    <row r="529" ht="12" customHeight="1" x14ac:dyDescent="0.25"/>
    <row r="530" ht="12" customHeight="1" x14ac:dyDescent="0.25"/>
    <row r="531" ht="12" customHeight="1" x14ac:dyDescent="0.25"/>
    <row r="532" ht="12" customHeight="1" x14ac:dyDescent="0.25"/>
    <row r="533" ht="12" customHeight="1" x14ac:dyDescent="0.25"/>
    <row r="534" ht="12" customHeight="1" x14ac:dyDescent="0.25"/>
    <row r="535" ht="12" customHeight="1" x14ac:dyDescent="0.25"/>
    <row r="536" ht="12" customHeight="1" x14ac:dyDescent="0.25"/>
    <row r="537" ht="12" customHeight="1" x14ac:dyDescent="0.25"/>
    <row r="538" ht="12" customHeight="1" x14ac:dyDescent="0.25"/>
    <row r="539" ht="12" customHeight="1" x14ac:dyDescent="0.25"/>
    <row r="540" ht="12" customHeight="1" x14ac:dyDescent="0.25"/>
    <row r="541" ht="12" customHeight="1" x14ac:dyDescent="0.25"/>
    <row r="542" ht="12" customHeight="1" x14ac:dyDescent="0.25"/>
    <row r="543" ht="12" customHeight="1" x14ac:dyDescent="0.25"/>
    <row r="544" ht="12" customHeight="1" x14ac:dyDescent="0.25"/>
    <row r="545" ht="12" customHeight="1" x14ac:dyDescent="0.25"/>
    <row r="546" ht="12" customHeight="1" x14ac:dyDescent="0.25"/>
    <row r="547" ht="12" customHeight="1" x14ac:dyDescent="0.25"/>
    <row r="548" ht="12" customHeight="1" x14ac:dyDescent="0.25"/>
    <row r="549" ht="12" customHeight="1" x14ac:dyDescent="0.25"/>
    <row r="550" ht="12" customHeight="1" x14ac:dyDescent="0.25"/>
    <row r="551" ht="12" customHeight="1" x14ac:dyDescent="0.25"/>
    <row r="552" ht="12" customHeight="1" x14ac:dyDescent="0.25"/>
    <row r="553" ht="12" customHeight="1" x14ac:dyDescent="0.25"/>
    <row r="554" ht="12" customHeight="1" x14ac:dyDescent="0.25"/>
    <row r="555" ht="12" customHeight="1" x14ac:dyDescent="0.25"/>
    <row r="556" ht="12" customHeight="1" x14ac:dyDescent="0.25"/>
    <row r="557" ht="12" customHeight="1" x14ac:dyDescent="0.25"/>
    <row r="558" ht="12" customHeight="1" x14ac:dyDescent="0.25"/>
    <row r="559" ht="12" customHeight="1" x14ac:dyDescent="0.25"/>
    <row r="560" ht="12" customHeight="1" x14ac:dyDescent="0.25"/>
    <row r="561" ht="12" customHeight="1" x14ac:dyDescent="0.25"/>
    <row r="562" ht="12" customHeight="1" x14ac:dyDescent="0.25"/>
    <row r="563" ht="12" customHeight="1" x14ac:dyDescent="0.25"/>
    <row r="564" ht="12" customHeight="1" x14ac:dyDescent="0.25"/>
    <row r="565" ht="12" customHeight="1" x14ac:dyDescent="0.25"/>
    <row r="566" ht="12" customHeight="1" x14ac:dyDescent="0.25"/>
    <row r="567" ht="12" customHeight="1" x14ac:dyDescent="0.25"/>
    <row r="568" ht="12" customHeight="1" x14ac:dyDescent="0.25"/>
    <row r="569" ht="12" customHeight="1" x14ac:dyDescent="0.25"/>
    <row r="570" ht="12" customHeight="1" x14ac:dyDescent="0.25"/>
    <row r="571" ht="12" customHeight="1" x14ac:dyDescent="0.25"/>
    <row r="572" ht="12" customHeight="1" x14ac:dyDescent="0.25"/>
    <row r="573" ht="12" customHeight="1" x14ac:dyDescent="0.25"/>
    <row r="574" ht="12" customHeight="1" x14ac:dyDescent="0.25"/>
    <row r="575" ht="12" customHeight="1" x14ac:dyDescent="0.25"/>
    <row r="576" ht="12" customHeight="1" x14ac:dyDescent="0.25"/>
    <row r="577" ht="12" customHeight="1" x14ac:dyDescent="0.25"/>
    <row r="578" ht="12" customHeight="1" x14ac:dyDescent="0.25"/>
    <row r="579" ht="12" customHeight="1" x14ac:dyDescent="0.25"/>
    <row r="580" ht="12" customHeight="1" x14ac:dyDescent="0.25"/>
    <row r="581" ht="12" customHeight="1" x14ac:dyDescent="0.25"/>
    <row r="582" ht="12" customHeight="1" x14ac:dyDescent="0.25"/>
    <row r="583" ht="12" customHeight="1" x14ac:dyDescent="0.25"/>
    <row r="584" ht="12" customHeight="1" x14ac:dyDescent="0.25"/>
    <row r="585" ht="12" customHeight="1" x14ac:dyDescent="0.25"/>
    <row r="586" ht="12" customHeight="1" x14ac:dyDescent="0.25"/>
    <row r="587" ht="12" customHeight="1" x14ac:dyDescent="0.25"/>
    <row r="588" ht="12" customHeight="1" x14ac:dyDescent="0.25"/>
    <row r="589" ht="12" customHeight="1" x14ac:dyDescent="0.25"/>
    <row r="590" ht="12" customHeight="1" x14ac:dyDescent="0.25"/>
    <row r="591" ht="12" customHeight="1" x14ac:dyDescent="0.25"/>
    <row r="592" ht="12" customHeight="1" x14ac:dyDescent="0.25"/>
    <row r="593" ht="12" customHeight="1" x14ac:dyDescent="0.25"/>
    <row r="594" ht="12" customHeight="1" x14ac:dyDescent="0.25"/>
    <row r="595" ht="12" customHeight="1" x14ac:dyDescent="0.25"/>
    <row r="596" ht="12" customHeight="1" x14ac:dyDescent="0.25"/>
    <row r="597" ht="12" customHeight="1" x14ac:dyDescent="0.25"/>
    <row r="598" ht="12" customHeight="1" x14ac:dyDescent="0.25"/>
    <row r="599" ht="12" customHeight="1" x14ac:dyDescent="0.25"/>
    <row r="600" ht="12" customHeight="1" x14ac:dyDescent="0.25"/>
    <row r="601" ht="12" customHeight="1" x14ac:dyDescent="0.25"/>
    <row r="602" ht="12" customHeight="1" x14ac:dyDescent="0.25"/>
    <row r="603" ht="12" customHeight="1" x14ac:dyDescent="0.25"/>
    <row r="604" ht="12" customHeight="1" x14ac:dyDescent="0.25"/>
    <row r="605" ht="12" customHeight="1" x14ac:dyDescent="0.25"/>
    <row r="606" ht="12" customHeight="1" x14ac:dyDescent="0.25"/>
    <row r="607" ht="12" customHeight="1" x14ac:dyDescent="0.25"/>
    <row r="608" ht="12" customHeight="1" x14ac:dyDescent="0.25"/>
    <row r="609" ht="12" customHeight="1" x14ac:dyDescent="0.25"/>
    <row r="610" ht="12" customHeight="1" x14ac:dyDescent="0.25"/>
    <row r="611" ht="12" customHeight="1" x14ac:dyDescent="0.25"/>
    <row r="612" ht="12" customHeight="1" x14ac:dyDescent="0.25"/>
    <row r="613" ht="12" customHeight="1" x14ac:dyDescent="0.25"/>
    <row r="614" ht="12" customHeight="1" x14ac:dyDescent="0.25"/>
    <row r="615" ht="12" customHeight="1" x14ac:dyDescent="0.25"/>
    <row r="616" ht="12" customHeight="1" x14ac:dyDescent="0.25"/>
    <row r="617" ht="12" customHeight="1" x14ac:dyDescent="0.25"/>
    <row r="618" ht="12" customHeight="1" x14ac:dyDescent="0.25"/>
    <row r="619" ht="12" customHeight="1" x14ac:dyDescent="0.25"/>
    <row r="620" ht="12" customHeight="1" x14ac:dyDescent="0.25"/>
    <row r="621" ht="12" customHeight="1" x14ac:dyDescent="0.25"/>
    <row r="622" ht="12" customHeight="1" x14ac:dyDescent="0.25"/>
    <row r="623" ht="12" customHeight="1" x14ac:dyDescent="0.25"/>
    <row r="624" ht="12" customHeight="1" x14ac:dyDescent="0.25"/>
    <row r="625" ht="12" customHeight="1" x14ac:dyDescent="0.25"/>
    <row r="626" ht="12" customHeight="1" x14ac:dyDescent="0.25"/>
    <row r="627" ht="12" customHeight="1" x14ac:dyDescent="0.25"/>
    <row r="628" ht="12" customHeight="1" x14ac:dyDescent="0.25"/>
    <row r="629" ht="12" customHeight="1" x14ac:dyDescent="0.25"/>
    <row r="630" ht="12" customHeight="1" x14ac:dyDescent="0.25"/>
    <row r="631" ht="12" customHeight="1" x14ac:dyDescent="0.25"/>
    <row r="632" ht="12" customHeight="1" x14ac:dyDescent="0.25"/>
    <row r="633" ht="12" customHeight="1" x14ac:dyDescent="0.25"/>
    <row r="634" ht="12" customHeight="1" x14ac:dyDescent="0.25"/>
    <row r="635" ht="12" customHeight="1" x14ac:dyDescent="0.25"/>
    <row r="636" ht="12" customHeight="1" x14ac:dyDescent="0.25"/>
    <row r="637" ht="12" customHeight="1" x14ac:dyDescent="0.25"/>
    <row r="638" ht="12" customHeight="1" x14ac:dyDescent="0.25"/>
    <row r="639" ht="12" customHeight="1" x14ac:dyDescent="0.25"/>
    <row r="640" ht="12" customHeight="1" x14ac:dyDescent="0.25"/>
    <row r="641" ht="12" customHeight="1" x14ac:dyDescent="0.25"/>
    <row r="642" ht="12" customHeight="1" x14ac:dyDescent="0.25"/>
    <row r="643" ht="12" customHeight="1" x14ac:dyDescent="0.25"/>
    <row r="644" ht="12" customHeight="1" x14ac:dyDescent="0.25"/>
    <row r="645" ht="12" customHeight="1" x14ac:dyDescent="0.25"/>
    <row r="646" ht="12" customHeight="1" x14ac:dyDescent="0.25"/>
    <row r="647" ht="12" customHeight="1" x14ac:dyDescent="0.25"/>
    <row r="648" ht="12" customHeight="1" x14ac:dyDescent="0.25"/>
    <row r="649" ht="12" customHeight="1" x14ac:dyDescent="0.25"/>
    <row r="650" ht="12" customHeight="1" x14ac:dyDescent="0.25"/>
    <row r="651" ht="12" customHeight="1" x14ac:dyDescent="0.25"/>
    <row r="652" ht="12" customHeight="1" x14ac:dyDescent="0.25"/>
    <row r="653" ht="12" customHeight="1" x14ac:dyDescent="0.25"/>
    <row r="654" ht="12" customHeight="1" x14ac:dyDescent="0.25"/>
    <row r="655" ht="12" customHeight="1" x14ac:dyDescent="0.25"/>
    <row r="656" ht="12" customHeight="1" x14ac:dyDescent="0.25"/>
    <row r="657" ht="12" customHeight="1" x14ac:dyDescent="0.25"/>
    <row r="658" ht="12" customHeight="1" x14ac:dyDescent="0.25"/>
    <row r="659" ht="12" customHeight="1" x14ac:dyDescent="0.25"/>
    <row r="660" ht="12" customHeight="1" x14ac:dyDescent="0.25"/>
    <row r="661" ht="12" customHeight="1" x14ac:dyDescent="0.25"/>
    <row r="662" ht="12" customHeight="1" x14ac:dyDescent="0.25"/>
    <row r="663" ht="12" customHeight="1" x14ac:dyDescent="0.25"/>
    <row r="664" ht="12" customHeight="1" x14ac:dyDescent="0.25"/>
    <row r="665" ht="12" customHeight="1" x14ac:dyDescent="0.25"/>
    <row r="666" ht="12" customHeight="1" x14ac:dyDescent="0.25"/>
    <row r="667" ht="12" customHeight="1" x14ac:dyDescent="0.25"/>
    <row r="668" ht="12" customHeight="1" x14ac:dyDescent="0.25"/>
    <row r="669" ht="12" customHeight="1" x14ac:dyDescent="0.25"/>
    <row r="670" ht="12" customHeight="1" x14ac:dyDescent="0.25"/>
    <row r="671" ht="12" customHeight="1" x14ac:dyDescent="0.25"/>
    <row r="672" ht="12" customHeight="1" x14ac:dyDescent="0.25"/>
    <row r="673" ht="12" customHeight="1" x14ac:dyDescent="0.25"/>
    <row r="674" ht="12" customHeight="1" x14ac:dyDescent="0.25"/>
    <row r="675" ht="12" customHeight="1" x14ac:dyDescent="0.25"/>
    <row r="676" ht="12" customHeight="1" x14ac:dyDescent="0.25"/>
    <row r="677" ht="12" customHeight="1" x14ac:dyDescent="0.25"/>
    <row r="678" ht="12" customHeight="1" x14ac:dyDescent="0.25"/>
    <row r="679" ht="12" customHeight="1" x14ac:dyDescent="0.25"/>
    <row r="680" ht="12" customHeight="1" x14ac:dyDescent="0.25"/>
    <row r="681" ht="12" customHeight="1" x14ac:dyDescent="0.25"/>
    <row r="682" ht="12" customHeight="1" x14ac:dyDescent="0.25"/>
    <row r="683" ht="12" customHeight="1" x14ac:dyDescent="0.25"/>
    <row r="684" ht="12" customHeight="1" x14ac:dyDescent="0.25"/>
    <row r="685" ht="12" customHeight="1" x14ac:dyDescent="0.25"/>
    <row r="686" ht="12" customHeight="1" x14ac:dyDescent="0.25"/>
    <row r="687" ht="12" customHeight="1" x14ac:dyDescent="0.25"/>
    <row r="688" ht="12" customHeight="1" x14ac:dyDescent="0.25"/>
    <row r="689" ht="12" customHeight="1" x14ac:dyDescent="0.25"/>
    <row r="690" ht="12" customHeight="1" x14ac:dyDescent="0.25"/>
    <row r="691" ht="12" customHeight="1" x14ac:dyDescent="0.25"/>
    <row r="692" ht="12" customHeight="1" x14ac:dyDescent="0.25"/>
    <row r="693" ht="12" customHeight="1" x14ac:dyDescent="0.25"/>
    <row r="694" ht="12" customHeight="1" x14ac:dyDescent="0.25"/>
    <row r="695" ht="12" customHeight="1" x14ac:dyDescent="0.25"/>
    <row r="696" ht="12" customHeight="1" x14ac:dyDescent="0.25"/>
    <row r="697" ht="12" customHeight="1" x14ac:dyDescent="0.25"/>
    <row r="698" ht="12" customHeight="1" x14ac:dyDescent="0.25"/>
    <row r="699" ht="12" customHeight="1" x14ac:dyDescent="0.25"/>
    <row r="700" ht="12" customHeight="1" x14ac:dyDescent="0.25"/>
    <row r="701" ht="12" customHeight="1" x14ac:dyDescent="0.25"/>
    <row r="702" ht="12" customHeight="1" x14ac:dyDescent="0.25"/>
    <row r="703" ht="12" customHeight="1" x14ac:dyDescent="0.25"/>
    <row r="704" ht="12" customHeight="1" x14ac:dyDescent="0.25"/>
    <row r="705" ht="12" customHeight="1" x14ac:dyDescent="0.25"/>
    <row r="706" ht="12" customHeight="1" x14ac:dyDescent="0.25"/>
    <row r="707" ht="12" customHeight="1" x14ac:dyDescent="0.25"/>
    <row r="708" ht="12" customHeight="1" x14ac:dyDescent="0.25"/>
    <row r="709" ht="12" customHeight="1" x14ac:dyDescent="0.25"/>
    <row r="710" ht="12" customHeight="1" x14ac:dyDescent="0.25"/>
    <row r="711" ht="12" customHeight="1" x14ac:dyDescent="0.25"/>
    <row r="712" ht="12" customHeight="1" x14ac:dyDescent="0.25"/>
    <row r="713" ht="12" customHeight="1" x14ac:dyDescent="0.25"/>
    <row r="714" ht="12" customHeight="1" x14ac:dyDescent="0.25"/>
    <row r="715" ht="12" customHeight="1" x14ac:dyDescent="0.25"/>
    <row r="716" ht="12" customHeight="1" x14ac:dyDescent="0.25"/>
    <row r="717" ht="12" customHeight="1" x14ac:dyDescent="0.25"/>
    <row r="718" ht="12" customHeight="1" x14ac:dyDescent="0.25"/>
    <row r="719" ht="12" customHeight="1" x14ac:dyDescent="0.25"/>
    <row r="720" ht="12" customHeight="1" x14ac:dyDescent="0.25"/>
    <row r="721" ht="12" customHeight="1" x14ac:dyDescent="0.25"/>
    <row r="722" ht="12" customHeight="1" x14ac:dyDescent="0.25"/>
    <row r="723" ht="12" customHeight="1" x14ac:dyDescent="0.25"/>
    <row r="724" ht="12" customHeight="1" x14ac:dyDescent="0.25"/>
    <row r="725" ht="12" customHeight="1" x14ac:dyDescent="0.25"/>
    <row r="726" ht="12" customHeight="1" x14ac:dyDescent="0.25"/>
    <row r="727" ht="12" customHeight="1" x14ac:dyDescent="0.25"/>
    <row r="728" ht="12" customHeight="1" x14ac:dyDescent="0.25"/>
    <row r="729" ht="12" customHeight="1" x14ac:dyDescent="0.25"/>
    <row r="730" ht="12" customHeight="1" x14ac:dyDescent="0.25"/>
    <row r="731" ht="12" customHeight="1" x14ac:dyDescent="0.25"/>
    <row r="732" ht="12" customHeight="1" x14ac:dyDescent="0.25"/>
    <row r="733" ht="12" customHeight="1" x14ac:dyDescent="0.25"/>
    <row r="734" ht="12" customHeight="1" x14ac:dyDescent="0.25"/>
    <row r="735" ht="12" customHeight="1" x14ac:dyDescent="0.25"/>
    <row r="736" ht="12" customHeight="1" x14ac:dyDescent="0.25"/>
    <row r="737" ht="12" customHeight="1" x14ac:dyDescent="0.25"/>
    <row r="738" ht="12" customHeight="1" x14ac:dyDescent="0.25"/>
    <row r="739" ht="12" customHeight="1" x14ac:dyDescent="0.25"/>
    <row r="740" ht="12" customHeight="1" x14ac:dyDescent="0.25"/>
    <row r="741" ht="12" customHeight="1" x14ac:dyDescent="0.25"/>
    <row r="742" ht="12" customHeight="1" x14ac:dyDescent="0.25"/>
    <row r="743" ht="12" customHeight="1" x14ac:dyDescent="0.25"/>
    <row r="744" ht="12" customHeight="1" x14ac:dyDescent="0.25"/>
    <row r="745" ht="12" customHeight="1" x14ac:dyDescent="0.25"/>
    <row r="746" ht="12" customHeight="1" x14ac:dyDescent="0.25"/>
    <row r="747" ht="12" customHeight="1" x14ac:dyDescent="0.25"/>
    <row r="748" ht="12" customHeight="1" x14ac:dyDescent="0.25"/>
    <row r="749" ht="12" customHeight="1" x14ac:dyDescent="0.25"/>
    <row r="750" ht="12" customHeight="1" x14ac:dyDescent="0.25"/>
    <row r="751" ht="12" customHeight="1" x14ac:dyDescent="0.25"/>
    <row r="752" ht="12" customHeight="1" x14ac:dyDescent="0.25"/>
    <row r="753" ht="12" customHeight="1" x14ac:dyDescent="0.25"/>
    <row r="754" ht="12" customHeight="1" x14ac:dyDescent="0.25"/>
    <row r="755" ht="12" customHeight="1" x14ac:dyDescent="0.25"/>
    <row r="756" ht="12" customHeight="1" x14ac:dyDescent="0.25"/>
    <row r="757" ht="12" customHeight="1" x14ac:dyDescent="0.25"/>
    <row r="758" ht="12" customHeight="1" x14ac:dyDescent="0.25"/>
    <row r="759" ht="12" customHeight="1" x14ac:dyDescent="0.25"/>
    <row r="760" ht="12" customHeight="1" x14ac:dyDescent="0.25"/>
    <row r="761" ht="12" customHeight="1" x14ac:dyDescent="0.25"/>
    <row r="762" ht="12" customHeight="1" x14ac:dyDescent="0.25"/>
    <row r="763" ht="12" customHeight="1" x14ac:dyDescent="0.25"/>
    <row r="764" ht="12" customHeight="1" x14ac:dyDescent="0.25"/>
    <row r="765" ht="12" customHeight="1" x14ac:dyDescent="0.25"/>
    <row r="766" ht="12" customHeight="1" x14ac:dyDescent="0.25"/>
    <row r="767" ht="12" customHeight="1" x14ac:dyDescent="0.25"/>
    <row r="768" ht="12" customHeight="1" x14ac:dyDescent="0.25"/>
    <row r="769" ht="12" customHeight="1" x14ac:dyDescent="0.25"/>
    <row r="770" ht="12" customHeight="1" x14ac:dyDescent="0.25"/>
    <row r="771" ht="12" customHeight="1" x14ac:dyDescent="0.25"/>
    <row r="772" ht="12" customHeight="1" x14ac:dyDescent="0.25"/>
    <row r="773" ht="12" customHeight="1" x14ac:dyDescent="0.25"/>
    <row r="774" ht="12" customHeight="1" x14ac:dyDescent="0.25"/>
    <row r="775" ht="12" customHeight="1" x14ac:dyDescent="0.25"/>
    <row r="776" ht="12" customHeight="1" x14ac:dyDescent="0.25"/>
    <row r="777" ht="12" customHeight="1" x14ac:dyDescent="0.25"/>
    <row r="778" ht="12" customHeight="1" x14ac:dyDescent="0.25"/>
    <row r="779" ht="12" customHeight="1" x14ac:dyDescent="0.25"/>
    <row r="780" ht="12" customHeight="1" x14ac:dyDescent="0.25"/>
    <row r="781" ht="12" customHeight="1" x14ac:dyDescent="0.25"/>
    <row r="782" ht="12" customHeight="1" x14ac:dyDescent="0.25"/>
    <row r="783" ht="12" customHeight="1" x14ac:dyDescent="0.25"/>
    <row r="784" ht="12" customHeight="1" x14ac:dyDescent="0.25"/>
    <row r="785" ht="12" customHeight="1" x14ac:dyDescent="0.25"/>
    <row r="786" ht="12" customHeight="1" x14ac:dyDescent="0.25"/>
    <row r="787" ht="12" customHeight="1" x14ac:dyDescent="0.25"/>
    <row r="788" ht="12" customHeight="1" x14ac:dyDescent="0.25"/>
    <row r="789" ht="12" customHeight="1" x14ac:dyDescent="0.25"/>
    <row r="790" ht="12" customHeight="1" x14ac:dyDescent="0.25"/>
    <row r="791" ht="12" customHeight="1" x14ac:dyDescent="0.25"/>
    <row r="792" ht="12" customHeight="1" x14ac:dyDescent="0.25"/>
    <row r="793" ht="12" customHeight="1" x14ac:dyDescent="0.25"/>
    <row r="794" ht="12" customHeight="1" x14ac:dyDescent="0.25"/>
    <row r="795" ht="12" customHeight="1" x14ac:dyDescent="0.25"/>
    <row r="796" ht="12" customHeight="1" x14ac:dyDescent="0.25"/>
    <row r="797" ht="12" customHeight="1" x14ac:dyDescent="0.25"/>
    <row r="798" ht="12" customHeight="1" x14ac:dyDescent="0.25"/>
    <row r="799" ht="12" customHeight="1" x14ac:dyDescent="0.25"/>
    <row r="800" ht="12" customHeight="1" x14ac:dyDescent="0.25"/>
    <row r="801" ht="12" customHeight="1" x14ac:dyDescent="0.25"/>
    <row r="802" ht="12" customHeight="1" x14ac:dyDescent="0.25"/>
    <row r="803" ht="12" customHeight="1" x14ac:dyDescent="0.25"/>
    <row r="804" ht="12" customHeight="1" x14ac:dyDescent="0.25"/>
    <row r="805" ht="12" customHeight="1" x14ac:dyDescent="0.25"/>
    <row r="806" ht="12" customHeight="1" x14ac:dyDescent="0.25"/>
    <row r="807" ht="12" customHeight="1" x14ac:dyDescent="0.25"/>
    <row r="808" ht="12" customHeight="1" x14ac:dyDescent="0.25"/>
    <row r="809" ht="12" customHeight="1" x14ac:dyDescent="0.25"/>
    <row r="810" ht="12" customHeight="1" x14ac:dyDescent="0.25"/>
    <row r="811" ht="12" customHeight="1" x14ac:dyDescent="0.25"/>
    <row r="812" ht="12" customHeight="1" x14ac:dyDescent="0.25"/>
    <row r="813" ht="12" customHeight="1" x14ac:dyDescent="0.25"/>
    <row r="814" ht="12" customHeight="1" x14ac:dyDescent="0.25"/>
    <row r="815" ht="12" customHeight="1" x14ac:dyDescent="0.25"/>
    <row r="816" ht="12" customHeight="1" x14ac:dyDescent="0.25"/>
    <row r="817" ht="12" customHeight="1" x14ac:dyDescent="0.25"/>
    <row r="818" ht="12" customHeight="1" x14ac:dyDescent="0.25"/>
    <row r="819" ht="12" customHeight="1" x14ac:dyDescent="0.25"/>
    <row r="820" ht="12" customHeight="1" x14ac:dyDescent="0.25"/>
    <row r="821" ht="12" customHeight="1" x14ac:dyDescent="0.25"/>
    <row r="822" ht="12" customHeight="1" x14ac:dyDescent="0.25"/>
    <row r="823" ht="12" customHeight="1" x14ac:dyDescent="0.25"/>
    <row r="824" ht="12" customHeight="1" x14ac:dyDescent="0.25"/>
    <row r="825" ht="12" customHeight="1" x14ac:dyDescent="0.25"/>
    <row r="826" ht="12" customHeight="1" x14ac:dyDescent="0.25"/>
    <row r="827" ht="12" customHeight="1" x14ac:dyDescent="0.25"/>
    <row r="828" ht="12" customHeight="1" x14ac:dyDescent="0.25"/>
    <row r="829" ht="12" customHeight="1" x14ac:dyDescent="0.25"/>
    <row r="830" ht="12" customHeight="1" x14ac:dyDescent="0.25"/>
    <row r="831" ht="12" customHeight="1" x14ac:dyDescent="0.25"/>
    <row r="832" ht="12" customHeight="1" x14ac:dyDescent="0.25"/>
    <row r="833" ht="12" customHeight="1" x14ac:dyDescent="0.25"/>
    <row r="834" ht="12" customHeight="1" x14ac:dyDescent="0.25"/>
    <row r="835" ht="12" customHeight="1" x14ac:dyDescent="0.25"/>
    <row r="836" ht="12" customHeight="1" x14ac:dyDescent="0.25"/>
    <row r="837" ht="12" customHeight="1" x14ac:dyDescent="0.25"/>
    <row r="838" ht="12" customHeight="1" x14ac:dyDescent="0.25"/>
    <row r="839" ht="12" customHeight="1" x14ac:dyDescent="0.25"/>
    <row r="840" ht="12" customHeight="1" x14ac:dyDescent="0.25"/>
    <row r="841" ht="12" customHeight="1" x14ac:dyDescent="0.25"/>
    <row r="842" ht="12" customHeight="1" x14ac:dyDescent="0.25"/>
    <row r="843" ht="12" customHeight="1" x14ac:dyDescent="0.25"/>
    <row r="844" ht="12" customHeight="1" x14ac:dyDescent="0.25"/>
    <row r="845" ht="12" customHeight="1" x14ac:dyDescent="0.25"/>
    <row r="846" ht="12" customHeight="1" x14ac:dyDescent="0.25"/>
    <row r="847" ht="12" customHeight="1" x14ac:dyDescent="0.25"/>
    <row r="848" ht="12" customHeight="1" x14ac:dyDescent="0.25"/>
    <row r="849" ht="12" customHeight="1" x14ac:dyDescent="0.25"/>
    <row r="850" ht="12" customHeight="1" x14ac:dyDescent="0.25"/>
    <row r="851" ht="12" customHeight="1" x14ac:dyDescent="0.25"/>
    <row r="852" ht="12" customHeight="1" x14ac:dyDescent="0.25"/>
    <row r="853" ht="12" customHeight="1" x14ac:dyDescent="0.25"/>
    <row r="854" ht="12" customHeight="1" x14ac:dyDescent="0.25"/>
    <row r="855" ht="12" customHeight="1" x14ac:dyDescent="0.25"/>
    <row r="856" ht="12" customHeight="1" x14ac:dyDescent="0.25"/>
    <row r="857" ht="12" customHeight="1" x14ac:dyDescent="0.25"/>
    <row r="858" ht="12" customHeight="1" x14ac:dyDescent="0.25"/>
    <row r="859" ht="12" customHeight="1" x14ac:dyDescent="0.25"/>
    <row r="860" ht="12" customHeight="1" x14ac:dyDescent="0.25"/>
    <row r="861" ht="12" customHeight="1" x14ac:dyDescent="0.25"/>
    <row r="862" ht="12" customHeight="1" x14ac:dyDescent="0.25"/>
    <row r="863" ht="12" customHeight="1" x14ac:dyDescent="0.25"/>
    <row r="864" ht="12" customHeight="1" x14ac:dyDescent="0.25"/>
    <row r="865" ht="12" customHeight="1" x14ac:dyDescent="0.25"/>
    <row r="866" ht="12" customHeight="1" x14ac:dyDescent="0.25"/>
    <row r="867" ht="12" customHeight="1" x14ac:dyDescent="0.25"/>
    <row r="868" ht="12" customHeight="1" x14ac:dyDescent="0.25"/>
    <row r="869" ht="12" customHeight="1" x14ac:dyDescent="0.25"/>
    <row r="870" ht="12" customHeight="1" x14ac:dyDescent="0.25"/>
    <row r="871" ht="12" customHeight="1" x14ac:dyDescent="0.25"/>
    <row r="872" ht="12" customHeight="1" x14ac:dyDescent="0.25"/>
    <row r="873" ht="12" customHeight="1" x14ac:dyDescent="0.25"/>
    <row r="874" ht="12" customHeight="1" x14ac:dyDescent="0.25"/>
    <row r="875" ht="12" customHeight="1" x14ac:dyDescent="0.25"/>
    <row r="876" ht="12" customHeight="1" x14ac:dyDescent="0.25"/>
    <row r="877" ht="12" customHeight="1" x14ac:dyDescent="0.25"/>
    <row r="878" ht="12" customHeight="1" x14ac:dyDescent="0.25"/>
    <row r="879" ht="12" customHeight="1" x14ac:dyDescent="0.25"/>
    <row r="880" ht="12" customHeight="1" x14ac:dyDescent="0.25"/>
    <row r="881" ht="12" customHeight="1" x14ac:dyDescent="0.25"/>
    <row r="882" ht="12" customHeight="1" x14ac:dyDescent="0.25"/>
    <row r="883" ht="12" customHeight="1" x14ac:dyDescent="0.25"/>
    <row r="884" ht="12" customHeight="1" x14ac:dyDescent="0.25"/>
    <row r="885" ht="12" customHeight="1" x14ac:dyDescent="0.25"/>
    <row r="886" ht="12" customHeight="1" x14ac:dyDescent="0.25"/>
    <row r="887" ht="12" customHeight="1" x14ac:dyDescent="0.25"/>
    <row r="888" ht="12" customHeight="1" x14ac:dyDescent="0.25"/>
    <row r="889" ht="12" customHeight="1" x14ac:dyDescent="0.25"/>
    <row r="890" ht="12" customHeight="1" x14ac:dyDescent="0.25"/>
    <row r="891" ht="12" customHeight="1" x14ac:dyDescent="0.25"/>
    <row r="892" ht="12" customHeight="1" x14ac:dyDescent="0.25"/>
    <row r="893" ht="12" customHeight="1" x14ac:dyDescent="0.25"/>
    <row r="894" ht="12" customHeight="1" x14ac:dyDescent="0.25"/>
    <row r="895" ht="12" customHeight="1" x14ac:dyDescent="0.25"/>
    <row r="896" ht="12" customHeight="1" x14ac:dyDescent="0.25"/>
    <row r="897" ht="12" customHeight="1" x14ac:dyDescent="0.25"/>
    <row r="898" ht="12" customHeight="1" x14ac:dyDescent="0.25"/>
    <row r="899" ht="12" customHeight="1" x14ac:dyDescent="0.25"/>
    <row r="900" ht="12" customHeight="1" x14ac:dyDescent="0.25"/>
    <row r="901" ht="12" customHeight="1" x14ac:dyDescent="0.25"/>
    <row r="902" ht="12" customHeight="1" x14ac:dyDescent="0.25"/>
    <row r="903" ht="12" customHeight="1" x14ac:dyDescent="0.25"/>
    <row r="904" ht="12" customHeight="1" x14ac:dyDescent="0.25"/>
    <row r="905" ht="12" customHeight="1" x14ac:dyDescent="0.25"/>
    <row r="906" ht="12" customHeight="1" x14ac:dyDescent="0.25"/>
    <row r="907" ht="12" customHeight="1" x14ac:dyDescent="0.25"/>
    <row r="908" ht="12" customHeight="1" x14ac:dyDescent="0.25"/>
    <row r="909" ht="12" customHeight="1" x14ac:dyDescent="0.25"/>
    <row r="910" ht="12" customHeight="1" x14ac:dyDescent="0.25"/>
    <row r="911" ht="12" customHeight="1" x14ac:dyDescent="0.25"/>
    <row r="912" ht="12" customHeight="1" x14ac:dyDescent="0.25"/>
    <row r="913" ht="12" customHeight="1" x14ac:dyDescent="0.25"/>
    <row r="914" ht="12" customHeight="1" x14ac:dyDescent="0.25"/>
    <row r="915" ht="12" customHeight="1" x14ac:dyDescent="0.25"/>
    <row r="916" ht="12" customHeight="1" x14ac:dyDescent="0.25"/>
    <row r="917" ht="12" customHeight="1" x14ac:dyDescent="0.25"/>
    <row r="918" ht="12" customHeight="1" x14ac:dyDescent="0.25"/>
    <row r="919" ht="12" customHeight="1" x14ac:dyDescent="0.25"/>
    <row r="920" ht="12" customHeight="1" x14ac:dyDescent="0.25"/>
    <row r="921" ht="12" customHeight="1" x14ac:dyDescent="0.25"/>
    <row r="922" ht="12" customHeight="1" x14ac:dyDescent="0.25"/>
    <row r="923" ht="12" customHeight="1" x14ac:dyDescent="0.25"/>
    <row r="924" ht="12" customHeight="1" x14ac:dyDescent="0.25"/>
    <row r="925" ht="12" customHeight="1" x14ac:dyDescent="0.25"/>
    <row r="926" ht="12" customHeight="1" x14ac:dyDescent="0.25"/>
    <row r="927" ht="12" customHeight="1" x14ac:dyDescent="0.25"/>
    <row r="928" ht="12" customHeight="1" x14ac:dyDescent="0.25"/>
    <row r="929" ht="12" customHeight="1" x14ac:dyDescent="0.25"/>
    <row r="930" ht="12" customHeight="1" x14ac:dyDescent="0.25"/>
    <row r="931" ht="12" customHeight="1" x14ac:dyDescent="0.25"/>
    <row r="932" ht="12" customHeight="1" x14ac:dyDescent="0.25"/>
    <row r="933" ht="12" customHeight="1" x14ac:dyDescent="0.25"/>
    <row r="934" ht="12" customHeight="1" x14ac:dyDescent="0.25"/>
    <row r="935" ht="12" customHeight="1" x14ac:dyDescent="0.25"/>
    <row r="936" ht="12" customHeight="1" x14ac:dyDescent="0.25"/>
    <row r="937" ht="12" customHeight="1" x14ac:dyDescent="0.25"/>
    <row r="938" ht="12" customHeight="1" x14ac:dyDescent="0.25"/>
    <row r="939" ht="12" customHeight="1" x14ac:dyDescent="0.25"/>
    <row r="940" ht="12" customHeight="1" x14ac:dyDescent="0.25"/>
    <row r="941" ht="12" customHeight="1" x14ac:dyDescent="0.25"/>
    <row r="942" ht="12" customHeight="1" x14ac:dyDescent="0.25"/>
    <row r="943" ht="12" customHeight="1" x14ac:dyDescent="0.25"/>
    <row r="944" ht="12" customHeight="1" x14ac:dyDescent="0.25"/>
    <row r="945" ht="12" customHeight="1" x14ac:dyDescent="0.25"/>
    <row r="946" ht="12" customHeight="1" x14ac:dyDescent="0.25"/>
    <row r="947" ht="12" customHeight="1" x14ac:dyDescent="0.25"/>
    <row r="948" ht="12" customHeight="1" x14ac:dyDescent="0.25"/>
    <row r="949" ht="12" customHeight="1" x14ac:dyDescent="0.25"/>
    <row r="950" ht="12" customHeight="1" x14ac:dyDescent="0.25"/>
    <row r="951" ht="12" customHeight="1" x14ac:dyDescent="0.25"/>
    <row r="952" ht="12" customHeight="1" x14ac:dyDescent="0.25"/>
    <row r="953" ht="12" customHeight="1" x14ac:dyDescent="0.25"/>
    <row r="954" ht="12" customHeight="1" x14ac:dyDescent="0.25"/>
    <row r="955" ht="12" customHeight="1" x14ac:dyDescent="0.25"/>
    <row r="956" ht="12" customHeight="1" x14ac:dyDescent="0.25"/>
    <row r="957" ht="12" customHeight="1" x14ac:dyDescent="0.25"/>
    <row r="958" ht="12" customHeight="1" x14ac:dyDescent="0.25"/>
    <row r="959" ht="12" customHeight="1" x14ac:dyDescent="0.25"/>
    <row r="960" ht="12" customHeight="1" x14ac:dyDescent="0.25"/>
    <row r="961" ht="12" customHeight="1" x14ac:dyDescent="0.25"/>
    <row r="962" ht="12" customHeight="1" x14ac:dyDescent="0.25"/>
    <row r="963" ht="12" customHeight="1" x14ac:dyDescent="0.25"/>
    <row r="964" ht="12" customHeight="1" x14ac:dyDescent="0.25"/>
    <row r="965" ht="12" customHeight="1" x14ac:dyDescent="0.25"/>
    <row r="966" ht="12" customHeight="1" x14ac:dyDescent="0.25"/>
    <row r="967" ht="12" customHeight="1" x14ac:dyDescent="0.25"/>
    <row r="968" ht="12" customHeight="1" x14ac:dyDescent="0.25"/>
    <row r="969" ht="12" customHeight="1" x14ac:dyDescent="0.25"/>
    <row r="970" ht="12" customHeight="1" x14ac:dyDescent="0.25"/>
    <row r="971" ht="12" customHeight="1" x14ac:dyDescent="0.25"/>
    <row r="972" ht="12" customHeight="1" x14ac:dyDescent="0.25"/>
    <row r="973" ht="12" customHeight="1" x14ac:dyDescent="0.25"/>
    <row r="974" ht="12" customHeight="1" x14ac:dyDescent="0.25"/>
    <row r="975" ht="12" customHeight="1" x14ac:dyDescent="0.25"/>
    <row r="976" ht="12" customHeight="1" x14ac:dyDescent="0.25"/>
    <row r="977" ht="12" customHeight="1" x14ac:dyDescent="0.25"/>
    <row r="978" ht="12" customHeight="1" x14ac:dyDescent="0.25"/>
    <row r="979" ht="12" customHeight="1" x14ac:dyDescent="0.25"/>
    <row r="980" ht="12" customHeight="1" x14ac:dyDescent="0.25"/>
    <row r="981" ht="12" customHeight="1" x14ac:dyDescent="0.25"/>
    <row r="982" ht="12" customHeight="1" x14ac:dyDescent="0.25"/>
    <row r="983" ht="12" customHeight="1" x14ac:dyDescent="0.25"/>
    <row r="984" ht="12" customHeight="1" x14ac:dyDescent="0.25"/>
    <row r="985" ht="12" customHeight="1" x14ac:dyDescent="0.25"/>
    <row r="986" ht="12" customHeight="1" x14ac:dyDescent="0.25"/>
    <row r="987" ht="12" customHeight="1" x14ac:dyDescent="0.25"/>
    <row r="988" ht="12" customHeight="1" x14ac:dyDescent="0.25"/>
    <row r="989" ht="12" customHeight="1" x14ac:dyDescent="0.25"/>
    <row r="990" ht="12" customHeight="1" x14ac:dyDescent="0.25"/>
    <row r="991" ht="12" customHeight="1" x14ac:dyDescent="0.25"/>
    <row r="992" ht="12" customHeight="1" x14ac:dyDescent="0.25"/>
    <row r="993" ht="12" customHeight="1" x14ac:dyDescent="0.25"/>
    <row r="994" ht="12" customHeight="1" x14ac:dyDescent="0.25"/>
    <row r="995" ht="12" customHeight="1" x14ac:dyDescent="0.25"/>
    <row r="996" ht="12" customHeight="1" x14ac:dyDescent="0.25"/>
    <row r="997" ht="12" customHeight="1" x14ac:dyDescent="0.25"/>
    <row r="998" ht="12" customHeight="1" x14ac:dyDescent="0.25"/>
    <row r="999" ht="12" customHeight="1" x14ac:dyDescent="0.25"/>
    <row r="1000" ht="12" customHeight="1" x14ac:dyDescent="0.25"/>
  </sheetData>
  <pageMargins left="0.7" right="0.7" top="0.75" bottom="0.75" header="0" footer="0"/>
  <pageSetup orientation="landscape"/>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R1000"/>
  <sheetViews>
    <sheetView workbookViewId="0"/>
  </sheetViews>
  <sheetFormatPr baseColWidth="10" defaultColWidth="12.6328125" defaultRowHeight="15" customHeight="1" x14ac:dyDescent="0.25"/>
  <cols>
    <col min="1" max="1" width="16.08984375" customWidth="1"/>
    <col min="2" max="2" width="7.90625" customWidth="1"/>
    <col min="3" max="17" width="5.36328125" customWidth="1"/>
    <col min="18" max="18" width="7.36328125" customWidth="1"/>
    <col min="19" max="26" width="10.6328125" customWidth="1"/>
  </cols>
  <sheetData>
    <row r="1" spans="1:18" ht="12" customHeight="1" x14ac:dyDescent="0.25">
      <c r="A1" s="24" t="s">
        <v>39</v>
      </c>
      <c r="B1" s="25">
        <v>7</v>
      </c>
      <c r="C1" s="23"/>
      <c r="D1" s="23"/>
      <c r="E1" s="23"/>
      <c r="F1" s="23"/>
      <c r="G1" s="23"/>
      <c r="H1" s="23"/>
      <c r="I1" s="23"/>
      <c r="J1" s="23"/>
      <c r="K1" s="23"/>
      <c r="L1" s="23"/>
      <c r="M1" s="23"/>
      <c r="N1" s="23"/>
      <c r="O1" s="23"/>
      <c r="P1" s="23"/>
      <c r="Q1" s="23"/>
      <c r="R1" s="23"/>
    </row>
    <row r="2" spans="1:18" ht="12" customHeight="1" x14ac:dyDescent="0.25">
      <c r="A2" s="26" t="s">
        <v>71</v>
      </c>
      <c r="B2" s="26">
        <v>1000</v>
      </c>
      <c r="C2" s="23"/>
      <c r="D2" s="23"/>
      <c r="E2" s="23"/>
      <c r="F2" s="23"/>
      <c r="G2" s="23"/>
      <c r="H2" s="23"/>
      <c r="I2" s="23"/>
      <c r="J2" s="23"/>
      <c r="K2" s="23"/>
      <c r="L2" s="23"/>
      <c r="M2" s="23"/>
      <c r="N2" s="23"/>
      <c r="O2" s="23"/>
      <c r="P2" s="23"/>
      <c r="Q2" s="23"/>
      <c r="R2" s="23"/>
    </row>
    <row r="3" spans="1:18" ht="12" customHeight="1" x14ac:dyDescent="0.25">
      <c r="A3" s="27" t="s">
        <v>72</v>
      </c>
      <c r="B3" s="27">
        <v>15</v>
      </c>
      <c r="C3" s="23"/>
      <c r="D3" s="23"/>
      <c r="E3" s="23"/>
      <c r="F3" s="23"/>
      <c r="G3" s="23"/>
      <c r="H3" s="23"/>
      <c r="I3" s="23"/>
      <c r="J3" s="23"/>
      <c r="K3" s="23"/>
      <c r="L3" s="23"/>
      <c r="M3" s="23"/>
      <c r="N3" s="23"/>
      <c r="O3" s="23"/>
      <c r="P3" s="23"/>
      <c r="Q3" s="23"/>
      <c r="R3" s="23"/>
    </row>
    <row r="4" spans="1:18" ht="12" customHeight="1" x14ac:dyDescent="0.25">
      <c r="A4" s="27" t="s">
        <v>73</v>
      </c>
      <c r="B4" s="28">
        <v>0.1</v>
      </c>
      <c r="C4" s="23"/>
      <c r="D4" s="23"/>
      <c r="E4" s="23"/>
      <c r="F4" s="23"/>
      <c r="G4" s="23"/>
      <c r="H4" s="23"/>
      <c r="I4" s="23"/>
      <c r="J4" s="23"/>
      <c r="K4" s="23"/>
      <c r="L4" s="23"/>
      <c r="M4" s="23"/>
      <c r="N4" s="23"/>
      <c r="O4" s="23"/>
      <c r="P4" s="23"/>
      <c r="Q4" s="23"/>
      <c r="R4" s="23"/>
    </row>
    <row r="5" spans="1:18" ht="12" customHeight="1" x14ac:dyDescent="0.25">
      <c r="A5" s="27" t="s">
        <v>74</v>
      </c>
      <c r="B5" s="27">
        <f>+B4*B2</f>
        <v>100</v>
      </c>
      <c r="C5" s="23"/>
      <c r="D5" s="23"/>
      <c r="E5" s="23"/>
      <c r="F5" s="23"/>
      <c r="G5" s="23"/>
      <c r="H5" s="23"/>
      <c r="I5" s="23"/>
      <c r="J5" s="23"/>
      <c r="K5" s="23"/>
      <c r="L5" s="23"/>
      <c r="M5" s="23"/>
      <c r="N5" s="23"/>
      <c r="O5" s="23"/>
      <c r="P5" s="23"/>
      <c r="Q5" s="23"/>
      <c r="R5" s="23"/>
    </row>
    <row r="6" spans="1:18" ht="12" customHeight="1" x14ac:dyDescent="0.25">
      <c r="A6" s="43" t="s">
        <v>41</v>
      </c>
      <c r="B6" s="52">
        <v>0.1</v>
      </c>
      <c r="C6" s="23"/>
      <c r="D6" s="23">
        <v>1</v>
      </c>
      <c r="E6" s="23">
        <f t="shared" ref="E6:R6" si="0">+D6+1</f>
        <v>2</v>
      </c>
      <c r="F6" s="23">
        <f t="shared" si="0"/>
        <v>3</v>
      </c>
      <c r="G6" s="23">
        <f t="shared" si="0"/>
        <v>4</v>
      </c>
      <c r="H6" s="23">
        <f t="shared" si="0"/>
        <v>5</v>
      </c>
      <c r="I6" s="23">
        <f t="shared" si="0"/>
        <v>6</v>
      </c>
      <c r="J6" s="23">
        <f t="shared" si="0"/>
        <v>7</v>
      </c>
      <c r="K6" s="23">
        <f t="shared" si="0"/>
        <v>8</v>
      </c>
      <c r="L6" s="23">
        <f t="shared" si="0"/>
        <v>9</v>
      </c>
      <c r="M6" s="23">
        <f t="shared" si="0"/>
        <v>10</v>
      </c>
      <c r="N6" s="23">
        <f t="shared" si="0"/>
        <v>11</v>
      </c>
      <c r="O6" s="23">
        <f t="shared" si="0"/>
        <v>12</v>
      </c>
      <c r="P6" s="23">
        <f t="shared" si="0"/>
        <v>13</v>
      </c>
      <c r="Q6" s="23">
        <f t="shared" si="0"/>
        <v>14</v>
      </c>
      <c r="R6" s="23">
        <f t="shared" si="0"/>
        <v>15</v>
      </c>
    </row>
    <row r="7" spans="1:18" ht="12" customHeight="1" x14ac:dyDescent="0.25">
      <c r="A7" s="29" t="s">
        <v>75</v>
      </c>
      <c r="B7" s="30">
        <f t="shared" ref="B7:B9" si="1">+R7</f>
        <v>23.93920493691634</v>
      </c>
      <c r="C7" s="23"/>
      <c r="D7" s="54">
        <f t="shared" ref="D7:R7" si="2">$B$5/(1+$B$6)^D$6</f>
        <v>90.909090909090907</v>
      </c>
      <c r="E7" s="54">
        <f t="shared" si="2"/>
        <v>82.644628099173545</v>
      </c>
      <c r="F7" s="54">
        <f t="shared" si="2"/>
        <v>75.131480090157751</v>
      </c>
      <c r="G7" s="54">
        <f t="shared" si="2"/>
        <v>68.301345536507057</v>
      </c>
      <c r="H7" s="54">
        <f t="shared" si="2"/>
        <v>62.092132305915499</v>
      </c>
      <c r="I7" s="54">
        <f t="shared" si="2"/>
        <v>56.44739300537772</v>
      </c>
      <c r="J7" s="54">
        <f t="shared" si="2"/>
        <v>51.315811823070646</v>
      </c>
      <c r="K7" s="54">
        <f t="shared" si="2"/>
        <v>46.650738020973314</v>
      </c>
      <c r="L7" s="54">
        <f t="shared" si="2"/>
        <v>42.409761837248467</v>
      </c>
      <c r="M7" s="54">
        <f t="shared" si="2"/>
        <v>38.554328942953148</v>
      </c>
      <c r="N7" s="54">
        <f t="shared" si="2"/>
        <v>35.049389948139222</v>
      </c>
      <c r="O7" s="54">
        <f t="shared" si="2"/>
        <v>31.863081771035656</v>
      </c>
      <c r="P7" s="54">
        <f t="shared" si="2"/>
        <v>28.966437973668778</v>
      </c>
      <c r="Q7" s="54">
        <f t="shared" si="2"/>
        <v>26.333125430607975</v>
      </c>
      <c r="R7" s="54">
        <f t="shared" si="2"/>
        <v>23.93920493691634</v>
      </c>
    </row>
    <row r="8" spans="1:18" ht="12" customHeight="1" x14ac:dyDescent="0.25">
      <c r="A8" s="29" t="s">
        <v>76</v>
      </c>
      <c r="B8" s="30">
        <f t="shared" si="1"/>
        <v>239.3920493691634</v>
      </c>
      <c r="C8" s="23"/>
      <c r="D8" s="54">
        <v>0</v>
      </c>
      <c r="E8" s="54">
        <v>0</v>
      </c>
      <c r="F8" s="54">
        <v>0</v>
      </c>
      <c r="G8" s="54">
        <v>0</v>
      </c>
      <c r="H8" s="54">
        <v>0</v>
      </c>
      <c r="I8" s="54">
        <v>0</v>
      </c>
      <c r="J8" s="54">
        <v>0</v>
      </c>
      <c r="K8" s="54">
        <v>0</v>
      </c>
      <c r="L8" s="54">
        <v>0</v>
      </c>
      <c r="M8" s="54">
        <v>0</v>
      </c>
      <c r="N8" s="54">
        <v>0</v>
      </c>
      <c r="O8" s="54">
        <v>0</v>
      </c>
      <c r="P8" s="54">
        <v>0</v>
      </c>
      <c r="Q8" s="54">
        <v>0</v>
      </c>
      <c r="R8" s="54">
        <f>$B$2/(1+$B$6)^R$6</f>
        <v>239.3920493691634</v>
      </c>
    </row>
    <row r="9" spans="1:18" ht="12" customHeight="1" x14ac:dyDescent="0.25">
      <c r="A9" s="29" t="s">
        <v>77</v>
      </c>
      <c r="B9" s="30">
        <f t="shared" si="1"/>
        <v>999.99999999999943</v>
      </c>
      <c r="C9" s="23"/>
      <c r="D9" s="23"/>
      <c r="E9" s="23"/>
      <c r="F9" s="23"/>
      <c r="G9" s="23"/>
      <c r="H9" s="23"/>
      <c r="I9" s="23"/>
      <c r="J9" s="23"/>
      <c r="K9" s="23"/>
      <c r="L9" s="23"/>
      <c r="M9" s="23"/>
      <c r="N9" s="23"/>
      <c r="O9" s="23"/>
      <c r="P9" s="23"/>
      <c r="Q9" s="23"/>
      <c r="R9" s="54">
        <f>SUM(D7:R7)+R8</f>
        <v>999.99999999999943</v>
      </c>
    </row>
    <row r="10" spans="1:18" ht="12" customHeight="1" x14ac:dyDescent="0.25">
      <c r="A10" s="23"/>
      <c r="B10" s="23"/>
      <c r="C10" s="23"/>
      <c r="D10" s="23"/>
      <c r="E10" s="23"/>
      <c r="F10" s="23"/>
      <c r="G10" s="23"/>
      <c r="H10" s="23"/>
      <c r="I10" s="23"/>
      <c r="J10" s="23"/>
      <c r="K10" s="23"/>
      <c r="L10" s="23"/>
      <c r="M10" s="23"/>
      <c r="N10" s="23"/>
      <c r="O10" s="23"/>
      <c r="P10" s="23"/>
      <c r="Q10" s="23"/>
      <c r="R10" s="23"/>
    </row>
    <row r="11" spans="1:18" ht="12" customHeight="1" x14ac:dyDescent="0.25"/>
    <row r="12" spans="1:18" ht="12" customHeight="1" x14ac:dyDescent="0.25"/>
    <row r="13" spans="1:18" ht="12" customHeight="1" x14ac:dyDescent="0.25"/>
    <row r="14" spans="1:18" ht="12" customHeight="1" x14ac:dyDescent="0.25"/>
    <row r="15" spans="1:18" ht="12" customHeight="1" x14ac:dyDescent="0.25"/>
    <row r="16" spans="1:18" ht="12" customHeight="1" x14ac:dyDescent="0.25"/>
    <row r="17" ht="12" customHeight="1" x14ac:dyDescent="0.25"/>
    <row r="18" ht="12" customHeight="1" x14ac:dyDescent="0.25"/>
    <row r="19" ht="12" customHeight="1" x14ac:dyDescent="0.25"/>
    <row r="20" ht="12" customHeight="1" x14ac:dyDescent="0.25"/>
    <row r="21" ht="12" customHeight="1" x14ac:dyDescent="0.25"/>
    <row r="22" ht="12" customHeight="1" x14ac:dyDescent="0.25"/>
    <row r="23" ht="12" customHeight="1" x14ac:dyDescent="0.25"/>
    <row r="24" ht="12" customHeight="1" x14ac:dyDescent="0.25"/>
    <row r="25" ht="12" customHeight="1" x14ac:dyDescent="0.25"/>
    <row r="26" ht="12" customHeight="1" x14ac:dyDescent="0.25"/>
    <row r="27" ht="12" customHeight="1" x14ac:dyDescent="0.25"/>
    <row r="28" ht="12" customHeight="1" x14ac:dyDescent="0.25"/>
    <row r="29" ht="12" customHeight="1" x14ac:dyDescent="0.25"/>
    <row r="30" ht="12" customHeight="1" x14ac:dyDescent="0.25"/>
    <row r="31" ht="12" customHeight="1" x14ac:dyDescent="0.25"/>
    <row r="32" ht="12" customHeight="1" x14ac:dyDescent="0.25"/>
    <row r="33" ht="12" customHeight="1" x14ac:dyDescent="0.25"/>
    <row r="34" ht="12" customHeight="1" x14ac:dyDescent="0.25"/>
    <row r="35" ht="12" customHeight="1" x14ac:dyDescent="0.25"/>
    <row r="36" ht="12" customHeight="1" x14ac:dyDescent="0.25"/>
    <row r="37" ht="12" customHeight="1" x14ac:dyDescent="0.25"/>
    <row r="38" ht="12" customHeight="1" x14ac:dyDescent="0.25"/>
    <row r="39" ht="12" customHeight="1" x14ac:dyDescent="0.25"/>
    <row r="40" ht="12" customHeight="1" x14ac:dyDescent="0.25"/>
    <row r="41" ht="12" customHeight="1" x14ac:dyDescent="0.25"/>
    <row r="42" ht="12" customHeight="1" x14ac:dyDescent="0.25"/>
    <row r="43" ht="12" customHeight="1" x14ac:dyDescent="0.25"/>
    <row r="44" ht="12" customHeight="1" x14ac:dyDescent="0.25"/>
    <row r="45" ht="12" customHeight="1" x14ac:dyDescent="0.25"/>
    <row r="46" ht="12" customHeight="1" x14ac:dyDescent="0.25"/>
    <row r="47" ht="12" customHeight="1" x14ac:dyDescent="0.25"/>
    <row r="48" ht="12" customHeight="1" x14ac:dyDescent="0.25"/>
    <row r="49" ht="12" customHeight="1" x14ac:dyDescent="0.25"/>
    <row r="50" ht="12" customHeight="1" x14ac:dyDescent="0.25"/>
    <row r="51" ht="12" customHeight="1" x14ac:dyDescent="0.25"/>
    <row r="52" ht="12" customHeight="1" x14ac:dyDescent="0.25"/>
    <row r="53" ht="12" customHeight="1" x14ac:dyDescent="0.25"/>
    <row r="54" ht="12" customHeight="1" x14ac:dyDescent="0.25"/>
    <row r="55" ht="12" customHeight="1" x14ac:dyDescent="0.25"/>
    <row r="56" ht="12" customHeight="1" x14ac:dyDescent="0.25"/>
    <row r="57" ht="12" customHeight="1" x14ac:dyDescent="0.25"/>
    <row r="58" ht="12" customHeight="1" x14ac:dyDescent="0.25"/>
    <row r="59" ht="12" customHeight="1" x14ac:dyDescent="0.25"/>
    <row r="60" ht="12" customHeight="1" x14ac:dyDescent="0.25"/>
    <row r="61" ht="12" customHeight="1" x14ac:dyDescent="0.25"/>
    <row r="62" ht="12" customHeight="1" x14ac:dyDescent="0.25"/>
    <row r="63" ht="12" customHeight="1" x14ac:dyDescent="0.25"/>
    <row r="64" ht="12" customHeight="1" x14ac:dyDescent="0.25"/>
    <row r="65" ht="12" customHeight="1" x14ac:dyDescent="0.25"/>
    <row r="66" ht="12" customHeight="1" x14ac:dyDescent="0.25"/>
    <row r="67" ht="12" customHeight="1" x14ac:dyDescent="0.25"/>
    <row r="68" ht="12" customHeight="1" x14ac:dyDescent="0.25"/>
    <row r="69" ht="12" customHeight="1" x14ac:dyDescent="0.25"/>
    <row r="70" ht="12" customHeight="1" x14ac:dyDescent="0.25"/>
    <row r="71" ht="12" customHeight="1" x14ac:dyDescent="0.25"/>
    <row r="72" ht="12" customHeight="1" x14ac:dyDescent="0.25"/>
    <row r="73" ht="12" customHeight="1" x14ac:dyDescent="0.25"/>
    <row r="74" ht="12" customHeight="1" x14ac:dyDescent="0.25"/>
    <row r="75" ht="12" customHeight="1" x14ac:dyDescent="0.25"/>
    <row r="76" ht="12" customHeight="1" x14ac:dyDescent="0.25"/>
    <row r="77" ht="12" customHeight="1" x14ac:dyDescent="0.25"/>
    <row r="78" ht="12" customHeight="1" x14ac:dyDescent="0.25"/>
    <row r="79" ht="12" customHeight="1" x14ac:dyDescent="0.25"/>
    <row r="80" ht="12" customHeight="1" x14ac:dyDescent="0.25"/>
    <row r="81" ht="12" customHeight="1" x14ac:dyDescent="0.25"/>
    <row r="82" ht="12" customHeight="1" x14ac:dyDescent="0.25"/>
    <row r="83" ht="12" customHeight="1" x14ac:dyDescent="0.25"/>
    <row r="84" ht="12" customHeight="1" x14ac:dyDescent="0.25"/>
    <row r="85" ht="12" customHeight="1" x14ac:dyDescent="0.25"/>
    <row r="86" ht="12" customHeight="1" x14ac:dyDescent="0.25"/>
    <row r="87" ht="12" customHeight="1" x14ac:dyDescent="0.25"/>
    <row r="88" ht="12" customHeight="1" x14ac:dyDescent="0.25"/>
    <row r="89" ht="12" customHeight="1" x14ac:dyDescent="0.25"/>
    <row r="90" ht="12" customHeight="1" x14ac:dyDescent="0.25"/>
    <row r="91" ht="12" customHeight="1" x14ac:dyDescent="0.25"/>
    <row r="92" ht="12" customHeight="1" x14ac:dyDescent="0.25"/>
    <row r="93" ht="12" customHeight="1" x14ac:dyDescent="0.25"/>
    <row r="94" ht="12" customHeight="1" x14ac:dyDescent="0.25"/>
    <row r="95" ht="12" customHeight="1" x14ac:dyDescent="0.25"/>
    <row r="96" ht="12" customHeight="1" x14ac:dyDescent="0.25"/>
    <row r="97" ht="12" customHeight="1" x14ac:dyDescent="0.25"/>
    <row r="98" ht="12" customHeight="1" x14ac:dyDescent="0.25"/>
    <row r="99" ht="12" customHeight="1" x14ac:dyDescent="0.25"/>
    <row r="100" ht="12" customHeight="1" x14ac:dyDescent="0.25"/>
    <row r="101" ht="12" customHeight="1" x14ac:dyDescent="0.25"/>
    <row r="102" ht="12" customHeight="1" x14ac:dyDescent="0.25"/>
    <row r="103" ht="12" customHeight="1" x14ac:dyDescent="0.25"/>
    <row r="104" ht="12" customHeight="1" x14ac:dyDescent="0.25"/>
    <row r="105" ht="12" customHeight="1" x14ac:dyDescent="0.25"/>
    <row r="106" ht="12" customHeight="1" x14ac:dyDescent="0.25"/>
    <row r="107" ht="12" customHeight="1" x14ac:dyDescent="0.25"/>
    <row r="108" ht="12" customHeight="1" x14ac:dyDescent="0.25"/>
    <row r="109" ht="12" customHeight="1" x14ac:dyDescent="0.25"/>
    <row r="110" ht="12" customHeight="1" x14ac:dyDescent="0.25"/>
    <row r="111" ht="12" customHeight="1" x14ac:dyDescent="0.25"/>
    <row r="112" ht="12" customHeight="1" x14ac:dyDescent="0.25"/>
    <row r="113" ht="12" customHeight="1" x14ac:dyDescent="0.25"/>
    <row r="114" ht="12" customHeight="1" x14ac:dyDescent="0.25"/>
    <row r="115" ht="12" customHeight="1" x14ac:dyDescent="0.25"/>
    <row r="116" ht="12" customHeight="1" x14ac:dyDescent="0.25"/>
    <row r="117" ht="12" customHeight="1" x14ac:dyDescent="0.25"/>
    <row r="118" ht="12" customHeight="1" x14ac:dyDescent="0.25"/>
    <row r="119" ht="12" customHeight="1" x14ac:dyDescent="0.25"/>
    <row r="120" ht="12" customHeight="1" x14ac:dyDescent="0.25"/>
    <row r="121" ht="12" customHeight="1" x14ac:dyDescent="0.25"/>
    <row r="122" ht="12" customHeight="1" x14ac:dyDescent="0.25"/>
    <row r="123" ht="12" customHeight="1" x14ac:dyDescent="0.25"/>
    <row r="124" ht="12" customHeight="1" x14ac:dyDescent="0.25"/>
    <row r="125" ht="12" customHeight="1" x14ac:dyDescent="0.25"/>
    <row r="126" ht="12" customHeight="1" x14ac:dyDescent="0.25"/>
    <row r="127" ht="12" customHeight="1" x14ac:dyDescent="0.25"/>
    <row r="128" ht="12" customHeight="1" x14ac:dyDescent="0.25"/>
    <row r="129" ht="12" customHeight="1" x14ac:dyDescent="0.25"/>
    <row r="130" ht="12" customHeight="1" x14ac:dyDescent="0.25"/>
    <row r="131" ht="12" customHeight="1" x14ac:dyDescent="0.25"/>
    <row r="132" ht="12" customHeight="1" x14ac:dyDescent="0.25"/>
    <row r="133" ht="12" customHeight="1" x14ac:dyDescent="0.25"/>
    <row r="134" ht="12" customHeight="1" x14ac:dyDescent="0.25"/>
    <row r="135" ht="12" customHeight="1" x14ac:dyDescent="0.25"/>
    <row r="136" ht="12" customHeight="1" x14ac:dyDescent="0.25"/>
    <row r="137" ht="12" customHeight="1" x14ac:dyDescent="0.25"/>
    <row r="138" ht="12" customHeight="1" x14ac:dyDescent="0.25"/>
    <row r="139" ht="12" customHeight="1" x14ac:dyDescent="0.25"/>
    <row r="140" ht="12" customHeight="1" x14ac:dyDescent="0.25"/>
    <row r="141" ht="12" customHeight="1" x14ac:dyDescent="0.25"/>
    <row r="142" ht="12" customHeight="1" x14ac:dyDescent="0.25"/>
    <row r="143" ht="12" customHeight="1" x14ac:dyDescent="0.25"/>
    <row r="144" ht="12" customHeight="1" x14ac:dyDescent="0.25"/>
    <row r="145" ht="12" customHeight="1" x14ac:dyDescent="0.25"/>
    <row r="146" ht="12" customHeight="1" x14ac:dyDescent="0.25"/>
    <row r="147" ht="12" customHeight="1" x14ac:dyDescent="0.25"/>
    <row r="148" ht="12" customHeight="1" x14ac:dyDescent="0.25"/>
    <row r="149" ht="12" customHeight="1" x14ac:dyDescent="0.25"/>
    <row r="150" ht="12" customHeight="1" x14ac:dyDescent="0.25"/>
    <row r="151" ht="12" customHeight="1" x14ac:dyDescent="0.25"/>
    <row r="152" ht="12" customHeight="1" x14ac:dyDescent="0.25"/>
    <row r="153" ht="12" customHeight="1" x14ac:dyDescent="0.25"/>
    <row r="154" ht="12" customHeight="1" x14ac:dyDescent="0.25"/>
    <row r="155" ht="12" customHeight="1" x14ac:dyDescent="0.25"/>
    <row r="156" ht="12" customHeight="1" x14ac:dyDescent="0.25"/>
    <row r="157" ht="12" customHeight="1" x14ac:dyDescent="0.25"/>
    <row r="158" ht="12" customHeight="1" x14ac:dyDescent="0.25"/>
    <row r="159" ht="12" customHeight="1" x14ac:dyDescent="0.25"/>
    <row r="160" ht="12" customHeight="1" x14ac:dyDescent="0.25"/>
    <row r="161" ht="12" customHeight="1" x14ac:dyDescent="0.25"/>
    <row r="162" ht="12" customHeight="1" x14ac:dyDescent="0.25"/>
    <row r="163" ht="12" customHeight="1" x14ac:dyDescent="0.25"/>
    <row r="164" ht="12" customHeight="1" x14ac:dyDescent="0.25"/>
    <row r="165" ht="12" customHeight="1" x14ac:dyDescent="0.25"/>
    <row r="166" ht="12" customHeight="1" x14ac:dyDescent="0.25"/>
    <row r="167" ht="12" customHeight="1" x14ac:dyDescent="0.25"/>
    <row r="168" ht="12" customHeight="1" x14ac:dyDescent="0.25"/>
    <row r="169" ht="12" customHeight="1" x14ac:dyDescent="0.25"/>
    <row r="170" ht="12" customHeight="1" x14ac:dyDescent="0.25"/>
    <row r="171" ht="12" customHeight="1" x14ac:dyDescent="0.25"/>
    <row r="172" ht="12" customHeight="1" x14ac:dyDescent="0.25"/>
    <row r="173" ht="12" customHeight="1" x14ac:dyDescent="0.25"/>
    <row r="174" ht="12" customHeight="1" x14ac:dyDescent="0.25"/>
    <row r="175" ht="12" customHeight="1" x14ac:dyDescent="0.25"/>
    <row r="176" ht="12" customHeight="1" x14ac:dyDescent="0.25"/>
    <row r="177" ht="12" customHeight="1" x14ac:dyDescent="0.25"/>
    <row r="178" ht="12" customHeight="1" x14ac:dyDescent="0.25"/>
    <row r="179" ht="12" customHeight="1" x14ac:dyDescent="0.25"/>
    <row r="180" ht="12" customHeight="1" x14ac:dyDescent="0.25"/>
    <row r="181" ht="12" customHeight="1" x14ac:dyDescent="0.25"/>
    <row r="182" ht="12" customHeight="1" x14ac:dyDescent="0.25"/>
    <row r="183" ht="12" customHeight="1" x14ac:dyDescent="0.25"/>
    <row r="184" ht="12" customHeight="1" x14ac:dyDescent="0.25"/>
    <row r="185" ht="12" customHeight="1" x14ac:dyDescent="0.25"/>
    <row r="186" ht="12" customHeight="1" x14ac:dyDescent="0.25"/>
    <row r="187" ht="12" customHeight="1" x14ac:dyDescent="0.25"/>
    <row r="188" ht="12" customHeight="1" x14ac:dyDescent="0.25"/>
    <row r="189" ht="12" customHeight="1" x14ac:dyDescent="0.25"/>
    <row r="190" ht="12" customHeight="1" x14ac:dyDescent="0.25"/>
    <row r="191" ht="12" customHeight="1" x14ac:dyDescent="0.25"/>
    <row r="192" ht="12" customHeight="1" x14ac:dyDescent="0.25"/>
    <row r="193" ht="12" customHeight="1" x14ac:dyDescent="0.25"/>
    <row r="194" ht="12" customHeight="1" x14ac:dyDescent="0.25"/>
    <row r="195" ht="12" customHeight="1" x14ac:dyDescent="0.25"/>
    <row r="196" ht="12" customHeight="1" x14ac:dyDescent="0.25"/>
    <row r="197" ht="12" customHeight="1" x14ac:dyDescent="0.25"/>
    <row r="198" ht="12" customHeight="1" x14ac:dyDescent="0.25"/>
    <row r="199" ht="12" customHeight="1" x14ac:dyDescent="0.25"/>
    <row r="200" ht="12" customHeight="1" x14ac:dyDescent="0.25"/>
    <row r="201" ht="12" customHeight="1" x14ac:dyDescent="0.25"/>
    <row r="202" ht="12" customHeight="1" x14ac:dyDescent="0.25"/>
    <row r="203" ht="12" customHeight="1" x14ac:dyDescent="0.25"/>
    <row r="204" ht="12" customHeight="1" x14ac:dyDescent="0.25"/>
    <row r="205" ht="12" customHeight="1" x14ac:dyDescent="0.25"/>
    <row r="206" ht="12" customHeight="1" x14ac:dyDescent="0.25"/>
    <row r="207" ht="12" customHeight="1" x14ac:dyDescent="0.25"/>
    <row r="208" ht="12" customHeight="1" x14ac:dyDescent="0.25"/>
    <row r="209" ht="12" customHeight="1" x14ac:dyDescent="0.25"/>
    <row r="210" ht="12" customHeight="1" x14ac:dyDescent="0.25"/>
    <row r="211" ht="12" customHeight="1" x14ac:dyDescent="0.25"/>
    <row r="212" ht="12" customHeight="1" x14ac:dyDescent="0.25"/>
    <row r="213" ht="12" customHeight="1" x14ac:dyDescent="0.25"/>
    <row r="214" ht="12" customHeight="1" x14ac:dyDescent="0.25"/>
    <row r="215" ht="12" customHeight="1" x14ac:dyDescent="0.25"/>
    <row r="216" ht="12" customHeight="1" x14ac:dyDescent="0.25"/>
    <row r="217" ht="12" customHeight="1" x14ac:dyDescent="0.25"/>
    <row r="218" ht="12" customHeight="1" x14ac:dyDescent="0.25"/>
    <row r="219" ht="12" customHeight="1" x14ac:dyDescent="0.25"/>
    <row r="220" ht="12" customHeight="1" x14ac:dyDescent="0.25"/>
    <row r="221" ht="12" customHeight="1" x14ac:dyDescent="0.25"/>
    <row r="222" ht="12" customHeight="1" x14ac:dyDescent="0.25"/>
    <row r="223" ht="12" customHeight="1" x14ac:dyDescent="0.25"/>
    <row r="224" ht="12" customHeight="1" x14ac:dyDescent="0.25"/>
    <row r="225" ht="12" customHeight="1" x14ac:dyDescent="0.25"/>
    <row r="226" ht="12" customHeight="1" x14ac:dyDescent="0.25"/>
    <row r="227" ht="12" customHeight="1" x14ac:dyDescent="0.25"/>
    <row r="228" ht="12" customHeight="1" x14ac:dyDescent="0.25"/>
    <row r="229" ht="12" customHeight="1" x14ac:dyDescent="0.25"/>
    <row r="230" ht="12" customHeight="1" x14ac:dyDescent="0.25"/>
    <row r="231" ht="12" customHeight="1" x14ac:dyDescent="0.25"/>
    <row r="232" ht="12" customHeight="1" x14ac:dyDescent="0.25"/>
    <row r="233" ht="12" customHeight="1" x14ac:dyDescent="0.25"/>
    <row r="234" ht="12" customHeight="1" x14ac:dyDescent="0.25"/>
    <row r="235" ht="12" customHeight="1" x14ac:dyDescent="0.25"/>
    <row r="236" ht="12" customHeight="1" x14ac:dyDescent="0.25"/>
    <row r="237" ht="12" customHeight="1" x14ac:dyDescent="0.25"/>
    <row r="238" ht="12" customHeight="1" x14ac:dyDescent="0.25"/>
    <row r="239" ht="12" customHeight="1" x14ac:dyDescent="0.25"/>
    <row r="240" ht="12" customHeight="1" x14ac:dyDescent="0.25"/>
    <row r="241" ht="12" customHeight="1" x14ac:dyDescent="0.25"/>
    <row r="242" ht="12" customHeight="1" x14ac:dyDescent="0.25"/>
    <row r="243" ht="12" customHeight="1" x14ac:dyDescent="0.25"/>
    <row r="244" ht="12" customHeight="1" x14ac:dyDescent="0.25"/>
    <row r="245" ht="12" customHeight="1" x14ac:dyDescent="0.25"/>
    <row r="246" ht="12" customHeight="1" x14ac:dyDescent="0.25"/>
    <row r="247" ht="12" customHeight="1" x14ac:dyDescent="0.25"/>
    <row r="248" ht="12" customHeight="1" x14ac:dyDescent="0.25"/>
    <row r="249" ht="12" customHeight="1" x14ac:dyDescent="0.25"/>
    <row r="250" ht="12" customHeight="1" x14ac:dyDescent="0.25"/>
    <row r="251" ht="12" customHeight="1" x14ac:dyDescent="0.25"/>
    <row r="252" ht="12" customHeight="1" x14ac:dyDescent="0.25"/>
    <row r="253" ht="12" customHeight="1" x14ac:dyDescent="0.25"/>
    <row r="254" ht="12" customHeight="1" x14ac:dyDescent="0.25"/>
    <row r="255" ht="12" customHeight="1" x14ac:dyDescent="0.25"/>
    <row r="256" ht="12" customHeight="1" x14ac:dyDescent="0.25"/>
    <row r="257" ht="12" customHeight="1" x14ac:dyDescent="0.25"/>
    <row r="258" ht="12" customHeight="1" x14ac:dyDescent="0.25"/>
    <row r="259" ht="12" customHeight="1" x14ac:dyDescent="0.25"/>
    <row r="260" ht="12" customHeight="1" x14ac:dyDescent="0.25"/>
    <row r="261" ht="12" customHeight="1" x14ac:dyDescent="0.25"/>
    <row r="262" ht="12" customHeight="1" x14ac:dyDescent="0.25"/>
    <row r="263" ht="12" customHeight="1" x14ac:dyDescent="0.25"/>
    <row r="264" ht="12" customHeight="1" x14ac:dyDescent="0.25"/>
    <row r="265" ht="12" customHeight="1" x14ac:dyDescent="0.25"/>
    <row r="266" ht="12" customHeight="1" x14ac:dyDescent="0.25"/>
    <row r="267" ht="12" customHeight="1" x14ac:dyDescent="0.25"/>
    <row r="268" ht="12" customHeight="1" x14ac:dyDescent="0.25"/>
    <row r="269" ht="12" customHeight="1" x14ac:dyDescent="0.25"/>
    <row r="270" ht="12" customHeight="1" x14ac:dyDescent="0.25"/>
    <row r="271" ht="12" customHeight="1" x14ac:dyDescent="0.25"/>
    <row r="272" ht="12" customHeight="1" x14ac:dyDescent="0.25"/>
    <row r="273" ht="12" customHeight="1" x14ac:dyDescent="0.25"/>
    <row r="274" ht="12" customHeight="1" x14ac:dyDescent="0.25"/>
    <row r="275" ht="12" customHeight="1" x14ac:dyDescent="0.25"/>
    <row r="276" ht="12" customHeight="1" x14ac:dyDescent="0.25"/>
    <row r="277" ht="12" customHeight="1" x14ac:dyDescent="0.25"/>
    <row r="278" ht="12" customHeight="1" x14ac:dyDescent="0.25"/>
    <row r="279" ht="12" customHeight="1" x14ac:dyDescent="0.25"/>
    <row r="280" ht="12" customHeight="1" x14ac:dyDescent="0.25"/>
    <row r="281" ht="12" customHeight="1" x14ac:dyDescent="0.25"/>
    <row r="282" ht="12" customHeight="1" x14ac:dyDescent="0.25"/>
    <row r="283" ht="12" customHeight="1" x14ac:dyDescent="0.25"/>
    <row r="284" ht="12" customHeight="1" x14ac:dyDescent="0.25"/>
    <row r="285" ht="12" customHeight="1" x14ac:dyDescent="0.25"/>
    <row r="286" ht="12" customHeight="1" x14ac:dyDescent="0.25"/>
    <row r="287" ht="12" customHeight="1" x14ac:dyDescent="0.25"/>
    <row r="288" ht="12" customHeight="1" x14ac:dyDescent="0.25"/>
    <row r="289" ht="12" customHeight="1" x14ac:dyDescent="0.25"/>
    <row r="290" ht="12" customHeight="1" x14ac:dyDescent="0.25"/>
    <row r="291" ht="12" customHeight="1" x14ac:dyDescent="0.25"/>
    <row r="292" ht="12" customHeight="1" x14ac:dyDescent="0.25"/>
    <row r="293" ht="12" customHeight="1" x14ac:dyDescent="0.25"/>
    <row r="294" ht="12" customHeight="1" x14ac:dyDescent="0.25"/>
    <row r="295" ht="12" customHeight="1" x14ac:dyDescent="0.25"/>
    <row r="296" ht="12" customHeight="1" x14ac:dyDescent="0.25"/>
    <row r="297" ht="12" customHeight="1" x14ac:dyDescent="0.25"/>
    <row r="298" ht="12" customHeight="1" x14ac:dyDescent="0.25"/>
    <row r="299" ht="12" customHeight="1" x14ac:dyDescent="0.25"/>
    <row r="300" ht="12" customHeight="1" x14ac:dyDescent="0.25"/>
    <row r="301" ht="12" customHeight="1" x14ac:dyDescent="0.25"/>
    <row r="302" ht="12" customHeight="1" x14ac:dyDescent="0.25"/>
    <row r="303" ht="12" customHeight="1" x14ac:dyDescent="0.25"/>
    <row r="304" ht="12" customHeight="1" x14ac:dyDescent="0.25"/>
    <row r="305" ht="12" customHeight="1" x14ac:dyDescent="0.25"/>
    <row r="306" ht="12" customHeight="1" x14ac:dyDescent="0.25"/>
    <row r="307" ht="12" customHeight="1" x14ac:dyDescent="0.25"/>
    <row r="308" ht="12" customHeight="1" x14ac:dyDescent="0.25"/>
    <row r="309" ht="12" customHeight="1" x14ac:dyDescent="0.25"/>
    <row r="310" ht="12" customHeight="1" x14ac:dyDescent="0.25"/>
    <row r="311" ht="12" customHeight="1" x14ac:dyDescent="0.25"/>
    <row r="312" ht="12" customHeight="1" x14ac:dyDescent="0.25"/>
    <row r="313" ht="12" customHeight="1" x14ac:dyDescent="0.25"/>
    <row r="314" ht="12" customHeight="1" x14ac:dyDescent="0.25"/>
    <row r="315" ht="12" customHeight="1" x14ac:dyDescent="0.25"/>
    <row r="316" ht="12" customHeight="1" x14ac:dyDescent="0.25"/>
    <row r="317" ht="12" customHeight="1" x14ac:dyDescent="0.25"/>
    <row r="318" ht="12" customHeight="1" x14ac:dyDescent="0.25"/>
    <row r="319" ht="12" customHeight="1" x14ac:dyDescent="0.25"/>
    <row r="320" ht="12" customHeight="1" x14ac:dyDescent="0.25"/>
    <row r="321" ht="12" customHeight="1" x14ac:dyDescent="0.25"/>
    <row r="322" ht="12" customHeight="1" x14ac:dyDescent="0.25"/>
    <row r="323" ht="12" customHeight="1" x14ac:dyDescent="0.25"/>
    <row r="324" ht="12" customHeight="1" x14ac:dyDescent="0.25"/>
    <row r="325" ht="12" customHeight="1" x14ac:dyDescent="0.25"/>
    <row r="326" ht="12" customHeight="1" x14ac:dyDescent="0.25"/>
    <row r="327" ht="12" customHeight="1" x14ac:dyDescent="0.25"/>
    <row r="328" ht="12" customHeight="1" x14ac:dyDescent="0.25"/>
    <row r="329" ht="12" customHeight="1" x14ac:dyDescent="0.25"/>
    <row r="330" ht="12" customHeight="1" x14ac:dyDescent="0.25"/>
    <row r="331" ht="12" customHeight="1" x14ac:dyDescent="0.25"/>
    <row r="332" ht="12" customHeight="1" x14ac:dyDescent="0.25"/>
    <row r="333" ht="12" customHeight="1" x14ac:dyDescent="0.25"/>
    <row r="334" ht="12" customHeight="1" x14ac:dyDescent="0.25"/>
    <row r="335" ht="12" customHeight="1" x14ac:dyDescent="0.25"/>
    <row r="336" ht="12" customHeight="1" x14ac:dyDescent="0.25"/>
    <row r="337" ht="12" customHeight="1" x14ac:dyDescent="0.25"/>
    <row r="338" ht="12" customHeight="1" x14ac:dyDescent="0.25"/>
    <row r="339" ht="12" customHeight="1" x14ac:dyDescent="0.25"/>
    <row r="340" ht="12" customHeight="1" x14ac:dyDescent="0.25"/>
    <row r="341" ht="12" customHeight="1" x14ac:dyDescent="0.25"/>
    <row r="342" ht="12" customHeight="1" x14ac:dyDescent="0.25"/>
    <row r="343" ht="12" customHeight="1" x14ac:dyDescent="0.25"/>
    <row r="344" ht="12" customHeight="1" x14ac:dyDescent="0.25"/>
    <row r="345" ht="12" customHeight="1" x14ac:dyDescent="0.25"/>
    <row r="346" ht="12" customHeight="1" x14ac:dyDescent="0.25"/>
    <row r="347" ht="12" customHeight="1" x14ac:dyDescent="0.25"/>
    <row r="348" ht="12" customHeight="1" x14ac:dyDescent="0.25"/>
    <row r="349" ht="12" customHeight="1" x14ac:dyDescent="0.25"/>
    <row r="350" ht="12" customHeight="1" x14ac:dyDescent="0.25"/>
    <row r="351" ht="12" customHeight="1" x14ac:dyDescent="0.25"/>
    <row r="352" ht="12" customHeight="1" x14ac:dyDescent="0.25"/>
    <row r="353" ht="12" customHeight="1" x14ac:dyDescent="0.25"/>
    <row r="354" ht="12" customHeight="1" x14ac:dyDescent="0.25"/>
    <row r="355" ht="12" customHeight="1" x14ac:dyDescent="0.25"/>
    <row r="356" ht="12" customHeight="1" x14ac:dyDescent="0.25"/>
    <row r="357" ht="12" customHeight="1" x14ac:dyDescent="0.25"/>
    <row r="358" ht="12" customHeight="1" x14ac:dyDescent="0.25"/>
    <row r="359" ht="12" customHeight="1" x14ac:dyDescent="0.25"/>
    <row r="360" ht="12" customHeight="1" x14ac:dyDescent="0.25"/>
    <row r="361" ht="12" customHeight="1" x14ac:dyDescent="0.25"/>
    <row r="362" ht="12" customHeight="1" x14ac:dyDescent="0.25"/>
    <row r="363" ht="12" customHeight="1" x14ac:dyDescent="0.25"/>
    <row r="364" ht="12" customHeight="1" x14ac:dyDescent="0.25"/>
    <row r="365" ht="12" customHeight="1" x14ac:dyDescent="0.25"/>
    <row r="366" ht="12" customHeight="1" x14ac:dyDescent="0.25"/>
    <row r="367" ht="12" customHeight="1" x14ac:dyDescent="0.25"/>
    <row r="368" ht="12" customHeight="1" x14ac:dyDescent="0.25"/>
    <row r="369" ht="12" customHeight="1" x14ac:dyDescent="0.25"/>
    <row r="370" ht="12" customHeight="1" x14ac:dyDescent="0.25"/>
    <row r="371" ht="12" customHeight="1" x14ac:dyDescent="0.25"/>
    <row r="372" ht="12" customHeight="1" x14ac:dyDescent="0.25"/>
    <row r="373" ht="12" customHeight="1" x14ac:dyDescent="0.25"/>
    <row r="374" ht="12" customHeight="1" x14ac:dyDescent="0.25"/>
    <row r="375" ht="12" customHeight="1" x14ac:dyDescent="0.25"/>
    <row r="376" ht="12" customHeight="1" x14ac:dyDescent="0.25"/>
    <row r="377" ht="12" customHeight="1" x14ac:dyDescent="0.25"/>
    <row r="378" ht="12" customHeight="1" x14ac:dyDescent="0.25"/>
    <row r="379" ht="12" customHeight="1" x14ac:dyDescent="0.25"/>
    <row r="380" ht="12" customHeight="1" x14ac:dyDescent="0.25"/>
    <row r="381" ht="12" customHeight="1" x14ac:dyDescent="0.25"/>
    <row r="382" ht="12" customHeight="1" x14ac:dyDescent="0.25"/>
    <row r="383" ht="12" customHeight="1" x14ac:dyDescent="0.25"/>
    <row r="384" ht="12" customHeight="1" x14ac:dyDescent="0.25"/>
    <row r="385" ht="12" customHeight="1" x14ac:dyDescent="0.25"/>
    <row r="386" ht="12" customHeight="1" x14ac:dyDescent="0.25"/>
    <row r="387" ht="12" customHeight="1" x14ac:dyDescent="0.25"/>
    <row r="388" ht="12" customHeight="1" x14ac:dyDescent="0.25"/>
    <row r="389" ht="12" customHeight="1" x14ac:dyDescent="0.25"/>
    <row r="390" ht="12" customHeight="1" x14ac:dyDescent="0.25"/>
    <row r="391" ht="12" customHeight="1" x14ac:dyDescent="0.25"/>
    <row r="392" ht="12" customHeight="1" x14ac:dyDescent="0.25"/>
    <row r="393" ht="12" customHeight="1" x14ac:dyDescent="0.25"/>
    <row r="394" ht="12" customHeight="1" x14ac:dyDescent="0.25"/>
    <row r="395" ht="12" customHeight="1" x14ac:dyDescent="0.25"/>
    <row r="396" ht="12" customHeight="1" x14ac:dyDescent="0.25"/>
    <row r="397" ht="12" customHeight="1" x14ac:dyDescent="0.25"/>
    <row r="398" ht="12" customHeight="1" x14ac:dyDescent="0.25"/>
    <row r="399" ht="12" customHeight="1" x14ac:dyDescent="0.25"/>
    <row r="400" ht="12" customHeight="1" x14ac:dyDescent="0.25"/>
    <row r="401" ht="12" customHeight="1" x14ac:dyDescent="0.25"/>
    <row r="402" ht="12" customHeight="1" x14ac:dyDescent="0.25"/>
    <row r="403" ht="12" customHeight="1" x14ac:dyDescent="0.25"/>
    <row r="404" ht="12" customHeight="1" x14ac:dyDescent="0.25"/>
    <row r="405" ht="12" customHeight="1" x14ac:dyDescent="0.25"/>
    <row r="406" ht="12" customHeight="1" x14ac:dyDescent="0.25"/>
    <row r="407" ht="12" customHeight="1" x14ac:dyDescent="0.25"/>
    <row r="408" ht="12" customHeight="1" x14ac:dyDescent="0.25"/>
    <row r="409" ht="12" customHeight="1" x14ac:dyDescent="0.25"/>
    <row r="410" ht="12" customHeight="1" x14ac:dyDescent="0.25"/>
    <row r="411" ht="12" customHeight="1" x14ac:dyDescent="0.25"/>
    <row r="412" ht="12" customHeight="1" x14ac:dyDescent="0.25"/>
    <row r="413" ht="12" customHeight="1" x14ac:dyDescent="0.25"/>
    <row r="414" ht="12" customHeight="1" x14ac:dyDescent="0.25"/>
    <row r="415" ht="12" customHeight="1" x14ac:dyDescent="0.25"/>
    <row r="416" ht="12" customHeight="1" x14ac:dyDescent="0.25"/>
    <row r="417" ht="12" customHeight="1" x14ac:dyDescent="0.25"/>
    <row r="418" ht="12" customHeight="1" x14ac:dyDescent="0.25"/>
    <row r="419" ht="12" customHeight="1" x14ac:dyDescent="0.25"/>
    <row r="420" ht="12" customHeight="1" x14ac:dyDescent="0.25"/>
    <row r="421" ht="12" customHeight="1" x14ac:dyDescent="0.25"/>
    <row r="422" ht="12" customHeight="1" x14ac:dyDescent="0.25"/>
    <row r="423" ht="12" customHeight="1" x14ac:dyDescent="0.25"/>
    <row r="424" ht="12" customHeight="1" x14ac:dyDescent="0.25"/>
    <row r="425" ht="12" customHeight="1" x14ac:dyDescent="0.25"/>
    <row r="426" ht="12" customHeight="1" x14ac:dyDescent="0.25"/>
    <row r="427" ht="12" customHeight="1" x14ac:dyDescent="0.25"/>
    <row r="428" ht="12" customHeight="1" x14ac:dyDescent="0.25"/>
    <row r="429" ht="12" customHeight="1" x14ac:dyDescent="0.25"/>
    <row r="430" ht="12" customHeight="1" x14ac:dyDescent="0.25"/>
    <row r="431" ht="12" customHeight="1" x14ac:dyDescent="0.25"/>
    <row r="432" ht="12" customHeight="1" x14ac:dyDescent="0.25"/>
    <row r="433" ht="12" customHeight="1" x14ac:dyDescent="0.25"/>
    <row r="434" ht="12" customHeight="1" x14ac:dyDescent="0.25"/>
    <row r="435" ht="12" customHeight="1" x14ac:dyDescent="0.25"/>
    <row r="436" ht="12" customHeight="1" x14ac:dyDescent="0.25"/>
    <row r="437" ht="12" customHeight="1" x14ac:dyDescent="0.25"/>
    <row r="438" ht="12" customHeight="1" x14ac:dyDescent="0.25"/>
    <row r="439" ht="12" customHeight="1" x14ac:dyDescent="0.25"/>
    <row r="440" ht="12" customHeight="1" x14ac:dyDescent="0.25"/>
    <row r="441" ht="12" customHeight="1" x14ac:dyDescent="0.25"/>
    <row r="442" ht="12" customHeight="1" x14ac:dyDescent="0.25"/>
    <row r="443" ht="12" customHeight="1" x14ac:dyDescent="0.25"/>
    <row r="444" ht="12" customHeight="1" x14ac:dyDescent="0.25"/>
    <row r="445" ht="12" customHeight="1" x14ac:dyDescent="0.25"/>
    <row r="446" ht="12" customHeight="1" x14ac:dyDescent="0.25"/>
    <row r="447" ht="12" customHeight="1" x14ac:dyDescent="0.25"/>
    <row r="448" ht="12" customHeight="1" x14ac:dyDescent="0.25"/>
    <row r="449" ht="12" customHeight="1" x14ac:dyDescent="0.25"/>
    <row r="450" ht="12" customHeight="1" x14ac:dyDescent="0.25"/>
    <row r="451" ht="12" customHeight="1" x14ac:dyDescent="0.25"/>
    <row r="452" ht="12" customHeight="1" x14ac:dyDescent="0.25"/>
    <row r="453" ht="12" customHeight="1" x14ac:dyDescent="0.25"/>
    <row r="454" ht="12" customHeight="1" x14ac:dyDescent="0.25"/>
    <row r="455" ht="12" customHeight="1" x14ac:dyDescent="0.25"/>
    <row r="456" ht="12" customHeight="1" x14ac:dyDescent="0.25"/>
    <row r="457" ht="12" customHeight="1" x14ac:dyDescent="0.25"/>
    <row r="458" ht="12" customHeight="1" x14ac:dyDescent="0.25"/>
    <row r="459" ht="12" customHeight="1" x14ac:dyDescent="0.25"/>
    <row r="460" ht="12" customHeight="1" x14ac:dyDescent="0.25"/>
    <row r="461" ht="12" customHeight="1" x14ac:dyDescent="0.25"/>
    <row r="462" ht="12" customHeight="1" x14ac:dyDescent="0.25"/>
    <row r="463" ht="12" customHeight="1" x14ac:dyDescent="0.25"/>
    <row r="464" ht="12" customHeight="1" x14ac:dyDescent="0.25"/>
    <row r="465" ht="12" customHeight="1" x14ac:dyDescent="0.25"/>
    <row r="466" ht="12" customHeight="1" x14ac:dyDescent="0.25"/>
    <row r="467" ht="12" customHeight="1" x14ac:dyDescent="0.25"/>
    <row r="468" ht="12" customHeight="1" x14ac:dyDescent="0.25"/>
    <row r="469" ht="12" customHeight="1" x14ac:dyDescent="0.25"/>
    <row r="470" ht="12" customHeight="1" x14ac:dyDescent="0.25"/>
    <row r="471" ht="12" customHeight="1" x14ac:dyDescent="0.25"/>
    <row r="472" ht="12" customHeight="1" x14ac:dyDescent="0.25"/>
    <row r="473" ht="12" customHeight="1" x14ac:dyDescent="0.25"/>
    <row r="474" ht="12" customHeight="1" x14ac:dyDescent="0.25"/>
    <row r="475" ht="12" customHeight="1" x14ac:dyDescent="0.25"/>
    <row r="476" ht="12" customHeight="1" x14ac:dyDescent="0.25"/>
    <row r="477" ht="12" customHeight="1" x14ac:dyDescent="0.25"/>
    <row r="478" ht="12" customHeight="1" x14ac:dyDescent="0.25"/>
    <row r="479" ht="12" customHeight="1" x14ac:dyDescent="0.25"/>
    <row r="480" ht="12" customHeight="1" x14ac:dyDescent="0.25"/>
    <row r="481" ht="12" customHeight="1" x14ac:dyDescent="0.25"/>
    <row r="482" ht="12" customHeight="1" x14ac:dyDescent="0.25"/>
    <row r="483" ht="12" customHeight="1" x14ac:dyDescent="0.25"/>
    <row r="484" ht="12" customHeight="1" x14ac:dyDescent="0.25"/>
    <row r="485" ht="12" customHeight="1" x14ac:dyDescent="0.25"/>
    <row r="486" ht="12" customHeight="1" x14ac:dyDescent="0.25"/>
    <row r="487" ht="12" customHeight="1" x14ac:dyDescent="0.25"/>
    <row r="488" ht="12" customHeight="1" x14ac:dyDescent="0.25"/>
    <row r="489" ht="12" customHeight="1" x14ac:dyDescent="0.25"/>
    <row r="490" ht="12" customHeight="1" x14ac:dyDescent="0.25"/>
    <row r="491" ht="12" customHeight="1" x14ac:dyDescent="0.25"/>
    <row r="492" ht="12" customHeight="1" x14ac:dyDescent="0.25"/>
    <row r="493" ht="12" customHeight="1" x14ac:dyDescent="0.25"/>
    <row r="494" ht="12" customHeight="1" x14ac:dyDescent="0.25"/>
    <row r="495" ht="12" customHeight="1" x14ac:dyDescent="0.25"/>
    <row r="496" ht="12" customHeight="1" x14ac:dyDescent="0.25"/>
    <row r="497" ht="12" customHeight="1" x14ac:dyDescent="0.25"/>
    <row r="498" ht="12" customHeight="1" x14ac:dyDescent="0.25"/>
    <row r="499" ht="12" customHeight="1" x14ac:dyDescent="0.25"/>
    <row r="500" ht="12" customHeight="1" x14ac:dyDescent="0.25"/>
    <row r="501" ht="12" customHeight="1" x14ac:dyDescent="0.25"/>
    <row r="502" ht="12" customHeight="1" x14ac:dyDescent="0.25"/>
    <row r="503" ht="12" customHeight="1" x14ac:dyDescent="0.25"/>
    <row r="504" ht="12" customHeight="1" x14ac:dyDescent="0.25"/>
    <row r="505" ht="12" customHeight="1" x14ac:dyDescent="0.25"/>
    <row r="506" ht="12" customHeight="1" x14ac:dyDescent="0.25"/>
    <row r="507" ht="12" customHeight="1" x14ac:dyDescent="0.25"/>
    <row r="508" ht="12" customHeight="1" x14ac:dyDescent="0.25"/>
    <row r="509" ht="12" customHeight="1" x14ac:dyDescent="0.25"/>
    <row r="510" ht="12" customHeight="1" x14ac:dyDescent="0.25"/>
    <row r="511" ht="12" customHeight="1" x14ac:dyDescent="0.25"/>
    <row r="512" ht="12" customHeight="1" x14ac:dyDescent="0.25"/>
    <row r="513" ht="12" customHeight="1" x14ac:dyDescent="0.25"/>
    <row r="514" ht="12" customHeight="1" x14ac:dyDescent="0.25"/>
    <row r="515" ht="12" customHeight="1" x14ac:dyDescent="0.25"/>
    <row r="516" ht="12" customHeight="1" x14ac:dyDescent="0.25"/>
    <row r="517" ht="12" customHeight="1" x14ac:dyDescent="0.25"/>
    <row r="518" ht="12" customHeight="1" x14ac:dyDescent="0.25"/>
    <row r="519" ht="12" customHeight="1" x14ac:dyDescent="0.25"/>
    <row r="520" ht="12" customHeight="1" x14ac:dyDescent="0.25"/>
    <row r="521" ht="12" customHeight="1" x14ac:dyDescent="0.25"/>
    <row r="522" ht="12" customHeight="1" x14ac:dyDescent="0.25"/>
    <row r="523" ht="12" customHeight="1" x14ac:dyDescent="0.25"/>
    <row r="524" ht="12" customHeight="1" x14ac:dyDescent="0.25"/>
    <row r="525" ht="12" customHeight="1" x14ac:dyDescent="0.25"/>
    <row r="526" ht="12" customHeight="1" x14ac:dyDescent="0.25"/>
    <row r="527" ht="12" customHeight="1" x14ac:dyDescent="0.25"/>
    <row r="528" ht="12" customHeight="1" x14ac:dyDescent="0.25"/>
    <row r="529" ht="12" customHeight="1" x14ac:dyDescent="0.25"/>
    <row r="530" ht="12" customHeight="1" x14ac:dyDescent="0.25"/>
    <row r="531" ht="12" customHeight="1" x14ac:dyDescent="0.25"/>
    <row r="532" ht="12" customHeight="1" x14ac:dyDescent="0.25"/>
    <row r="533" ht="12" customHeight="1" x14ac:dyDescent="0.25"/>
    <row r="534" ht="12" customHeight="1" x14ac:dyDescent="0.25"/>
    <row r="535" ht="12" customHeight="1" x14ac:dyDescent="0.25"/>
    <row r="536" ht="12" customHeight="1" x14ac:dyDescent="0.25"/>
    <row r="537" ht="12" customHeight="1" x14ac:dyDescent="0.25"/>
    <row r="538" ht="12" customHeight="1" x14ac:dyDescent="0.25"/>
    <row r="539" ht="12" customHeight="1" x14ac:dyDescent="0.25"/>
    <row r="540" ht="12" customHeight="1" x14ac:dyDescent="0.25"/>
    <row r="541" ht="12" customHeight="1" x14ac:dyDescent="0.25"/>
    <row r="542" ht="12" customHeight="1" x14ac:dyDescent="0.25"/>
    <row r="543" ht="12" customHeight="1" x14ac:dyDescent="0.25"/>
    <row r="544" ht="12" customHeight="1" x14ac:dyDescent="0.25"/>
    <row r="545" ht="12" customHeight="1" x14ac:dyDescent="0.25"/>
    <row r="546" ht="12" customHeight="1" x14ac:dyDescent="0.25"/>
    <row r="547" ht="12" customHeight="1" x14ac:dyDescent="0.25"/>
    <row r="548" ht="12" customHeight="1" x14ac:dyDescent="0.25"/>
    <row r="549" ht="12" customHeight="1" x14ac:dyDescent="0.25"/>
    <row r="550" ht="12" customHeight="1" x14ac:dyDescent="0.25"/>
    <row r="551" ht="12" customHeight="1" x14ac:dyDescent="0.25"/>
    <row r="552" ht="12" customHeight="1" x14ac:dyDescent="0.25"/>
    <row r="553" ht="12" customHeight="1" x14ac:dyDescent="0.25"/>
    <row r="554" ht="12" customHeight="1" x14ac:dyDescent="0.25"/>
    <row r="555" ht="12" customHeight="1" x14ac:dyDescent="0.25"/>
    <row r="556" ht="12" customHeight="1" x14ac:dyDescent="0.25"/>
    <row r="557" ht="12" customHeight="1" x14ac:dyDescent="0.25"/>
    <row r="558" ht="12" customHeight="1" x14ac:dyDescent="0.25"/>
    <row r="559" ht="12" customHeight="1" x14ac:dyDescent="0.25"/>
    <row r="560" ht="12" customHeight="1" x14ac:dyDescent="0.25"/>
    <row r="561" ht="12" customHeight="1" x14ac:dyDescent="0.25"/>
    <row r="562" ht="12" customHeight="1" x14ac:dyDescent="0.25"/>
    <row r="563" ht="12" customHeight="1" x14ac:dyDescent="0.25"/>
    <row r="564" ht="12" customHeight="1" x14ac:dyDescent="0.25"/>
    <row r="565" ht="12" customHeight="1" x14ac:dyDescent="0.25"/>
    <row r="566" ht="12" customHeight="1" x14ac:dyDescent="0.25"/>
    <row r="567" ht="12" customHeight="1" x14ac:dyDescent="0.25"/>
    <row r="568" ht="12" customHeight="1" x14ac:dyDescent="0.25"/>
    <row r="569" ht="12" customHeight="1" x14ac:dyDescent="0.25"/>
    <row r="570" ht="12" customHeight="1" x14ac:dyDescent="0.25"/>
    <row r="571" ht="12" customHeight="1" x14ac:dyDescent="0.25"/>
    <row r="572" ht="12" customHeight="1" x14ac:dyDescent="0.25"/>
    <row r="573" ht="12" customHeight="1" x14ac:dyDescent="0.25"/>
    <row r="574" ht="12" customHeight="1" x14ac:dyDescent="0.25"/>
    <row r="575" ht="12" customHeight="1" x14ac:dyDescent="0.25"/>
    <row r="576" ht="12" customHeight="1" x14ac:dyDescent="0.25"/>
    <row r="577" ht="12" customHeight="1" x14ac:dyDescent="0.25"/>
    <row r="578" ht="12" customHeight="1" x14ac:dyDescent="0.25"/>
    <row r="579" ht="12" customHeight="1" x14ac:dyDescent="0.25"/>
    <row r="580" ht="12" customHeight="1" x14ac:dyDescent="0.25"/>
    <row r="581" ht="12" customHeight="1" x14ac:dyDescent="0.25"/>
    <row r="582" ht="12" customHeight="1" x14ac:dyDescent="0.25"/>
    <row r="583" ht="12" customHeight="1" x14ac:dyDescent="0.25"/>
    <row r="584" ht="12" customHeight="1" x14ac:dyDescent="0.25"/>
    <row r="585" ht="12" customHeight="1" x14ac:dyDescent="0.25"/>
    <row r="586" ht="12" customHeight="1" x14ac:dyDescent="0.25"/>
    <row r="587" ht="12" customHeight="1" x14ac:dyDescent="0.25"/>
    <row r="588" ht="12" customHeight="1" x14ac:dyDescent="0.25"/>
    <row r="589" ht="12" customHeight="1" x14ac:dyDescent="0.25"/>
    <row r="590" ht="12" customHeight="1" x14ac:dyDescent="0.25"/>
    <row r="591" ht="12" customHeight="1" x14ac:dyDescent="0.25"/>
    <row r="592" ht="12" customHeight="1" x14ac:dyDescent="0.25"/>
    <row r="593" ht="12" customHeight="1" x14ac:dyDescent="0.25"/>
    <row r="594" ht="12" customHeight="1" x14ac:dyDescent="0.25"/>
    <row r="595" ht="12" customHeight="1" x14ac:dyDescent="0.25"/>
    <row r="596" ht="12" customHeight="1" x14ac:dyDescent="0.25"/>
    <row r="597" ht="12" customHeight="1" x14ac:dyDescent="0.25"/>
    <row r="598" ht="12" customHeight="1" x14ac:dyDescent="0.25"/>
    <row r="599" ht="12" customHeight="1" x14ac:dyDescent="0.25"/>
    <row r="600" ht="12" customHeight="1" x14ac:dyDescent="0.25"/>
    <row r="601" ht="12" customHeight="1" x14ac:dyDescent="0.25"/>
    <row r="602" ht="12" customHeight="1" x14ac:dyDescent="0.25"/>
    <row r="603" ht="12" customHeight="1" x14ac:dyDescent="0.25"/>
    <row r="604" ht="12" customHeight="1" x14ac:dyDescent="0.25"/>
    <row r="605" ht="12" customHeight="1" x14ac:dyDescent="0.25"/>
    <row r="606" ht="12" customHeight="1" x14ac:dyDescent="0.25"/>
    <row r="607" ht="12" customHeight="1" x14ac:dyDescent="0.25"/>
    <row r="608" ht="12" customHeight="1" x14ac:dyDescent="0.25"/>
    <row r="609" ht="12" customHeight="1" x14ac:dyDescent="0.25"/>
    <row r="610" ht="12" customHeight="1" x14ac:dyDescent="0.25"/>
    <row r="611" ht="12" customHeight="1" x14ac:dyDescent="0.25"/>
    <row r="612" ht="12" customHeight="1" x14ac:dyDescent="0.25"/>
    <row r="613" ht="12" customHeight="1" x14ac:dyDescent="0.25"/>
    <row r="614" ht="12" customHeight="1" x14ac:dyDescent="0.25"/>
    <row r="615" ht="12" customHeight="1" x14ac:dyDescent="0.25"/>
    <row r="616" ht="12" customHeight="1" x14ac:dyDescent="0.25"/>
    <row r="617" ht="12" customHeight="1" x14ac:dyDescent="0.25"/>
    <row r="618" ht="12" customHeight="1" x14ac:dyDescent="0.25"/>
    <row r="619" ht="12" customHeight="1" x14ac:dyDescent="0.25"/>
    <row r="620" ht="12" customHeight="1" x14ac:dyDescent="0.25"/>
    <row r="621" ht="12" customHeight="1" x14ac:dyDescent="0.25"/>
    <row r="622" ht="12" customHeight="1" x14ac:dyDescent="0.25"/>
    <row r="623" ht="12" customHeight="1" x14ac:dyDescent="0.25"/>
    <row r="624" ht="12" customHeight="1" x14ac:dyDescent="0.25"/>
    <row r="625" ht="12" customHeight="1" x14ac:dyDescent="0.25"/>
    <row r="626" ht="12" customHeight="1" x14ac:dyDescent="0.25"/>
    <row r="627" ht="12" customHeight="1" x14ac:dyDescent="0.25"/>
    <row r="628" ht="12" customHeight="1" x14ac:dyDescent="0.25"/>
    <row r="629" ht="12" customHeight="1" x14ac:dyDescent="0.25"/>
    <row r="630" ht="12" customHeight="1" x14ac:dyDescent="0.25"/>
    <row r="631" ht="12" customHeight="1" x14ac:dyDescent="0.25"/>
    <row r="632" ht="12" customHeight="1" x14ac:dyDescent="0.25"/>
    <row r="633" ht="12" customHeight="1" x14ac:dyDescent="0.25"/>
    <row r="634" ht="12" customHeight="1" x14ac:dyDescent="0.25"/>
    <row r="635" ht="12" customHeight="1" x14ac:dyDescent="0.25"/>
    <row r="636" ht="12" customHeight="1" x14ac:dyDescent="0.25"/>
    <row r="637" ht="12" customHeight="1" x14ac:dyDescent="0.25"/>
    <row r="638" ht="12" customHeight="1" x14ac:dyDescent="0.25"/>
    <row r="639" ht="12" customHeight="1" x14ac:dyDescent="0.25"/>
    <row r="640" ht="12" customHeight="1" x14ac:dyDescent="0.25"/>
    <row r="641" ht="12" customHeight="1" x14ac:dyDescent="0.25"/>
    <row r="642" ht="12" customHeight="1" x14ac:dyDescent="0.25"/>
    <row r="643" ht="12" customHeight="1" x14ac:dyDescent="0.25"/>
    <row r="644" ht="12" customHeight="1" x14ac:dyDescent="0.25"/>
    <row r="645" ht="12" customHeight="1" x14ac:dyDescent="0.25"/>
    <row r="646" ht="12" customHeight="1" x14ac:dyDescent="0.25"/>
    <row r="647" ht="12" customHeight="1" x14ac:dyDescent="0.25"/>
    <row r="648" ht="12" customHeight="1" x14ac:dyDescent="0.25"/>
    <row r="649" ht="12" customHeight="1" x14ac:dyDescent="0.25"/>
    <row r="650" ht="12" customHeight="1" x14ac:dyDescent="0.25"/>
    <row r="651" ht="12" customHeight="1" x14ac:dyDescent="0.25"/>
    <row r="652" ht="12" customHeight="1" x14ac:dyDescent="0.25"/>
    <row r="653" ht="12" customHeight="1" x14ac:dyDescent="0.25"/>
    <row r="654" ht="12" customHeight="1" x14ac:dyDescent="0.25"/>
    <row r="655" ht="12" customHeight="1" x14ac:dyDescent="0.25"/>
    <row r="656" ht="12" customHeight="1" x14ac:dyDescent="0.25"/>
    <row r="657" ht="12" customHeight="1" x14ac:dyDescent="0.25"/>
    <row r="658" ht="12" customHeight="1" x14ac:dyDescent="0.25"/>
    <row r="659" ht="12" customHeight="1" x14ac:dyDescent="0.25"/>
    <row r="660" ht="12" customHeight="1" x14ac:dyDescent="0.25"/>
    <row r="661" ht="12" customHeight="1" x14ac:dyDescent="0.25"/>
    <row r="662" ht="12" customHeight="1" x14ac:dyDescent="0.25"/>
    <row r="663" ht="12" customHeight="1" x14ac:dyDescent="0.25"/>
    <row r="664" ht="12" customHeight="1" x14ac:dyDescent="0.25"/>
    <row r="665" ht="12" customHeight="1" x14ac:dyDescent="0.25"/>
    <row r="666" ht="12" customHeight="1" x14ac:dyDescent="0.25"/>
    <row r="667" ht="12" customHeight="1" x14ac:dyDescent="0.25"/>
    <row r="668" ht="12" customHeight="1" x14ac:dyDescent="0.25"/>
    <row r="669" ht="12" customHeight="1" x14ac:dyDescent="0.25"/>
    <row r="670" ht="12" customHeight="1" x14ac:dyDescent="0.25"/>
    <row r="671" ht="12" customHeight="1" x14ac:dyDescent="0.25"/>
    <row r="672" ht="12" customHeight="1" x14ac:dyDescent="0.25"/>
    <row r="673" ht="12" customHeight="1" x14ac:dyDescent="0.25"/>
    <row r="674" ht="12" customHeight="1" x14ac:dyDescent="0.25"/>
    <row r="675" ht="12" customHeight="1" x14ac:dyDescent="0.25"/>
    <row r="676" ht="12" customHeight="1" x14ac:dyDescent="0.25"/>
    <row r="677" ht="12" customHeight="1" x14ac:dyDescent="0.25"/>
    <row r="678" ht="12" customHeight="1" x14ac:dyDescent="0.25"/>
    <row r="679" ht="12" customHeight="1" x14ac:dyDescent="0.25"/>
    <row r="680" ht="12" customHeight="1" x14ac:dyDescent="0.25"/>
    <row r="681" ht="12" customHeight="1" x14ac:dyDescent="0.25"/>
    <row r="682" ht="12" customHeight="1" x14ac:dyDescent="0.25"/>
    <row r="683" ht="12" customHeight="1" x14ac:dyDescent="0.25"/>
    <row r="684" ht="12" customHeight="1" x14ac:dyDescent="0.25"/>
    <row r="685" ht="12" customHeight="1" x14ac:dyDescent="0.25"/>
    <row r="686" ht="12" customHeight="1" x14ac:dyDescent="0.25"/>
    <row r="687" ht="12" customHeight="1" x14ac:dyDescent="0.25"/>
    <row r="688" ht="12" customHeight="1" x14ac:dyDescent="0.25"/>
    <row r="689" ht="12" customHeight="1" x14ac:dyDescent="0.25"/>
    <row r="690" ht="12" customHeight="1" x14ac:dyDescent="0.25"/>
    <row r="691" ht="12" customHeight="1" x14ac:dyDescent="0.25"/>
    <row r="692" ht="12" customHeight="1" x14ac:dyDescent="0.25"/>
    <row r="693" ht="12" customHeight="1" x14ac:dyDescent="0.25"/>
    <row r="694" ht="12" customHeight="1" x14ac:dyDescent="0.25"/>
    <row r="695" ht="12" customHeight="1" x14ac:dyDescent="0.25"/>
    <row r="696" ht="12" customHeight="1" x14ac:dyDescent="0.25"/>
    <row r="697" ht="12" customHeight="1" x14ac:dyDescent="0.25"/>
    <row r="698" ht="12" customHeight="1" x14ac:dyDescent="0.25"/>
    <row r="699" ht="12" customHeight="1" x14ac:dyDescent="0.25"/>
    <row r="700" ht="12" customHeight="1" x14ac:dyDescent="0.25"/>
    <row r="701" ht="12" customHeight="1" x14ac:dyDescent="0.25"/>
    <row r="702" ht="12" customHeight="1" x14ac:dyDescent="0.25"/>
    <row r="703" ht="12" customHeight="1" x14ac:dyDescent="0.25"/>
    <row r="704" ht="12" customHeight="1" x14ac:dyDescent="0.25"/>
    <row r="705" ht="12" customHeight="1" x14ac:dyDescent="0.25"/>
    <row r="706" ht="12" customHeight="1" x14ac:dyDescent="0.25"/>
    <row r="707" ht="12" customHeight="1" x14ac:dyDescent="0.25"/>
    <row r="708" ht="12" customHeight="1" x14ac:dyDescent="0.25"/>
    <row r="709" ht="12" customHeight="1" x14ac:dyDescent="0.25"/>
    <row r="710" ht="12" customHeight="1" x14ac:dyDescent="0.25"/>
    <row r="711" ht="12" customHeight="1" x14ac:dyDescent="0.25"/>
    <row r="712" ht="12" customHeight="1" x14ac:dyDescent="0.25"/>
    <row r="713" ht="12" customHeight="1" x14ac:dyDescent="0.25"/>
    <row r="714" ht="12" customHeight="1" x14ac:dyDescent="0.25"/>
    <row r="715" ht="12" customHeight="1" x14ac:dyDescent="0.25"/>
    <row r="716" ht="12" customHeight="1" x14ac:dyDescent="0.25"/>
    <row r="717" ht="12" customHeight="1" x14ac:dyDescent="0.25"/>
    <row r="718" ht="12" customHeight="1" x14ac:dyDescent="0.25"/>
    <row r="719" ht="12" customHeight="1" x14ac:dyDescent="0.25"/>
    <row r="720" ht="12" customHeight="1" x14ac:dyDescent="0.25"/>
    <row r="721" ht="12" customHeight="1" x14ac:dyDescent="0.25"/>
    <row r="722" ht="12" customHeight="1" x14ac:dyDescent="0.25"/>
    <row r="723" ht="12" customHeight="1" x14ac:dyDescent="0.25"/>
    <row r="724" ht="12" customHeight="1" x14ac:dyDescent="0.25"/>
    <row r="725" ht="12" customHeight="1" x14ac:dyDescent="0.25"/>
    <row r="726" ht="12" customHeight="1" x14ac:dyDescent="0.25"/>
    <row r="727" ht="12" customHeight="1" x14ac:dyDescent="0.25"/>
    <row r="728" ht="12" customHeight="1" x14ac:dyDescent="0.25"/>
    <row r="729" ht="12" customHeight="1" x14ac:dyDescent="0.25"/>
    <row r="730" ht="12" customHeight="1" x14ac:dyDescent="0.25"/>
    <row r="731" ht="12" customHeight="1" x14ac:dyDescent="0.25"/>
    <row r="732" ht="12" customHeight="1" x14ac:dyDescent="0.25"/>
    <row r="733" ht="12" customHeight="1" x14ac:dyDescent="0.25"/>
    <row r="734" ht="12" customHeight="1" x14ac:dyDescent="0.25"/>
    <row r="735" ht="12" customHeight="1" x14ac:dyDescent="0.25"/>
    <row r="736" ht="12" customHeight="1" x14ac:dyDescent="0.25"/>
    <row r="737" ht="12" customHeight="1" x14ac:dyDescent="0.25"/>
    <row r="738" ht="12" customHeight="1" x14ac:dyDescent="0.25"/>
    <row r="739" ht="12" customHeight="1" x14ac:dyDescent="0.25"/>
    <row r="740" ht="12" customHeight="1" x14ac:dyDescent="0.25"/>
    <row r="741" ht="12" customHeight="1" x14ac:dyDescent="0.25"/>
    <row r="742" ht="12" customHeight="1" x14ac:dyDescent="0.25"/>
    <row r="743" ht="12" customHeight="1" x14ac:dyDescent="0.25"/>
    <row r="744" ht="12" customHeight="1" x14ac:dyDescent="0.25"/>
    <row r="745" ht="12" customHeight="1" x14ac:dyDescent="0.25"/>
    <row r="746" ht="12" customHeight="1" x14ac:dyDescent="0.25"/>
    <row r="747" ht="12" customHeight="1" x14ac:dyDescent="0.25"/>
    <row r="748" ht="12" customHeight="1" x14ac:dyDescent="0.25"/>
    <row r="749" ht="12" customHeight="1" x14ac:dyDescent="0.25"/>
    <row r="750" ht="12" customHeight="1" x14ac:dyDescent="0.25"/>
    <row r="751" ht="12" customHeight="1" x14ac:dyDescent="0.25"/>
    <row r="752" ht="12" customHeight="1" x14ac:dyDescent="0.25"/>
    <row r="753" ht="12" customHeight="1" x14ac:dyDescent="0.25"/>
    <row r="754" ht="12" customHeight="1" x14ac:dyDescent="0.25"/>
    <row r="755" ht="12" customHeight="1" x14ac:dyDescent="0.25"/>
    <row r="756" ht="12" customHeight="1" x14ac:dyDescent="0.25"/>
    <row r="757" ht="12" customHeight="1" x14ac:dyDescent="0.25"/>
    <row r="758" ht="12" customHeight="1" x14ac:dyDescent="0.25"/>
    <row r="759" ht="12" customHeight="1" x14ac:dyDescent="0.25"/>
    <row r="760" ht="12" customHeight="1" x14ac:dyDescent="0.25"/>
    <row r="761" ht="12" customHeight="1" x14ac:dyDescent="0.25"/>
    <row r="762" ht="12" customHeight="1" x14ac:dyDescent="0.25"/>
    <row r="763" ht="12" customHeight="1" x14ac:dyDescent="0.25"/>
    <row r="764" ht="12" customHeight="1" x14ac:dyDescent="0.25"/>
    <row r="765" ht="12" customHeight="1" x14ac:dyDescent="0.25"/>
    <row r="766" ht="12" customHeight="1" x14ac:dyDescent="0.25"/>
    <row r="767" ht="12" customHeight="1" x14ac:dyDescent="0.25"/>
    <row r="768" ht="12" customHeight="1" x14ac:dyDescent="0.25"/>
    <row r="769" ht="12" customHeight="1" x14ac:dyDescent="0.25"/>
    <row r="770" ht="12" customHeight="1" x14ac:dyDescent="0.25"/>
    <row r="771" ht="12" customHeight="1" x14ac:dyDescent="0.25"/>
    <row r="772" ht="12" customHeight="1" x14ac:dyDescent="0.25"/>
    <row r="773" ht="12" customHeight="1" x14ac:dyDescent="0.25"/>
    <row r="774" ht="12" customHeight="1" x14ac:dyDescent="0.25"/>
    <row r="775" ht="12" customHeight="1" x14ac:dyDescent="0.25"/>
    <row r="776" ht="12" customHeight="1" x14ac:dyDescent="0.25"/>
    <row r="777" ht="12" customHeight="1" x14ac:dyDescent="0.25"/>
    <row r="778" ht="12" customHeight="1" x14ac:dyDescent="0.25"/>
    <row r="779" ht="12" customHeight="1" x14ac:dyDescent="0.25"/>
    <row r="780" ht="12" customHeight="1" x14ac:dyDescent="0.25"/>
    <row r="781" ht="12" customHeight="1" x14ac:dyDescent="0.25"/>
    <row r="782" ht="12" customHeight="1" x14ac:dyDescent="0.25"/>
    <row r="783" ht="12" customHeight="1" x14ac:dyDescent="0.25"/>
    <row r="784" ht="12" customHeight="1" x14ac:dyDescent="0.25"/>
    <row r="785" ht="12" customHeight="1" x14ac:dyDescent="0.25"/>
    <row r="786" ht="12" customHeight="1" x14ac:dyDescent="0.25"/>
    <row r="787" ht="12" customHeight="1" x14ac:dyDescent="0.25"/>
    <row r="788" ht="12" customHeight="1" x14ac:dyDescent="0.25"/>
    <row r="789" ht="12" customHeight="1" x14ac:dyDescent="0.25"/>
    <row r="790" ht="12" customHeight="1" x14ac:dyDescent="0.25"/>
    <row r="791" ht="12" customHeight="1" x14ac:dyDescent="0.25"/>
    <row r="792" ht="12" customHeight="1" x14ac:dyDescent="0.25"/>
    <row r="793" ht="12" customHeight="1" x14ac:dyDescent="0.25"/>
    <row r="794" ht="12" customHeight="1" x14ac:dyDescent="0.25"/>
    <row r="795" ht="12" customHeight="1" x14ac:dyDescent="0.25"/>
    <row r="796" ht="12" customHeight="1" x14ac:dyDescent="0.25"/>
    <row r="797" ht="12" customHeight="1" x14ac:dyDescent="0.25"/>
    <row r="798" ht="12" customHeight="1" x14ac:dyDescent="0.25"/>
    <row r="799" ht="12" customHeight="1" x14ac:dyDescent="0.25"/>
    <row r="800" ht="12" customHeight="1" x14ac:dyDescent="0.25"/>
    <row r="801" ht="12" customHeight="1" x14ac:dyDescent="0.25"/>
    <row r="802" ht="12" customHeight="1" x14ac:dyDescent="0.25"/>
    <row r="803" ht="12" customHeight="1" x14ac:dyDescent="0.25"/>
    <row r="804" ht="12" customHeight="1" x14ac:dyDescent="0.25"/>
    <row r="805" ht="12" customHeight="1" x14ac:dyDescent="0.25"/>
    <row r="806" ht="12" customHeight="1" x14ac:dyDescent="0.25"/>
    <row r="807" ht="12" customHeight="1" x14ac:dyDescent="0.25"/>
    <row r="808" ht="12" customHeight="1" x14ac:dyDescent="0.25"/>
    <row r="809" ht="12" customHeight="1" x14ac:dyDescent="0.25"/>
    <row r="810" ht="12" customHeight="1" x14ac:dyDescent="0.25"/>
    <row r="811" ht="12" customHeight="1" x14ac:dyDescent="0.25"/>
    <row r="812" ht="12" customHeight="1" x14ac:dyDescent="0.25"/>
    <row r="813" ht="12" customHeight="1" x14ac:dyDescent="0.25"/>
    <row r="814" ht="12" customHeight="1" x14ac:dyDescent="0.25"/>
    <row r="815" ht="12" customHeight="1" x14ac:dyDescent="0.25"/>
    <row r="816" ht="12" customHeight="1" x14ac:dyDescent="0.25"/>
    <row r="817" ht="12" customHeight="1" x14ac:dyDescent="0.25"/>
    <row r="818" ht="12" customHeight="1" x14ac:dyDescent="0.25"/>
    <row r="819" ht="12" customHeight="1" x14ac:dyDescent="0.25"/>
    <row r="820" ht="12" customHeight="1" x14ac:dyDescent="0.25"/>
    <row r="821" ht="12" customHeight="1" x14ac:dyDescent="0.25"/>
    <row r="822" ht="12" customHeight="1" x14ac:dyDescent="0.25"/>
    <row r="823" ht="12" customHeight="1" x14ac:dyDescent="0.25"/>
    <row r="824" ht="12" customHeight="1" x14ac:dyDescent="0.25"/>
    <row r="825" ht="12" customHeight="1" x14ac:dyDescent="0.25"/>
    <row r="826" ht="12" customHeight="1" x14ac:dyDescent="0.25"/>
    <row r="827" ht="12" customHeight="1" x14ac:dyDescent="0.25"/>
    <row r="828" ht="12" customHeight="1" x14ac:dyDescent="0.25"/>
    <row r="829" ht="12" customHeight="1" x14ac:dyDescent="0.25"/>
    <row r="830" ht="12" customHeight="1" x14ac:dyDescent="0.25"/>
    <row r="831" ht="12" customHeight="1" x14ac:dyDescent="0.25"/>
    <row r="832" ht="12" customHeight="1" x14ac:dyDescent="0.25"/>
    <row r="833" ht="12" customHeight="1" x14ac:dyDescent="0.25"/>
    <row r="834" ht="12" customHeight="1" x14ac:dyDescent="0.25"/>
    <row r="835" ht="12" customHeight="1" x14ac:dyDescent="0.25"/>
    <row r="836" ht="12" customHeight="1" x14ac:dyDescent="0.25"/>
    <row r="837" ht="12" customHeight="1" x14ac:dyDescent="0.25"/>
    <row r="838" ht="12" customHeight="1" x14ac:dyDescent="0.25"/>
    <row r="839" ht="12" customHeight="1" x14ac:dyDescent="0.25"/>
    <row r="840" ht="12" customHeight="1" x14ac:dyDescent="0.25"/>
    <row r="841" ht="12" customHeight="1" x14ac:dyDescent="0.25"/>
    <row r="842" ht="12" customHeight="1" x14ac:dyDescent="0.25"/>
    <row r="843" ht="12" customHeight="1" x14ac:dyDescent="0.25"/>
    <row r="844" ht="12" customHeight="1" x14ac:dyDescent="0.25"/>
    <row r="845" ht="12" customHeight="1" x14ac:dyDescent="0.25"/>
    <row r="846" ht="12" customHeight="1" x14ac:dyDescent="0.25"/>
    <row r="847" ht="12" customHeight="1" x14ac:dyDescent="0.25"/>
    <row r="848" ht="12" customHeight="1" x14ac:dyDescent="0.25"/>
    <row r="849" ht="12" customHeight="1" x14ac:dyDescent="0.25"/>
    <row r="850" ht="12" customHeight="1" x14ac:dyDescent="0.25"/>
    <row r="851" ht="12" customHeight="1" x14ac:dyDescent="0.25"/>
    <row r="852" ht="12" customHeight="1" x14ac:dyDescent="0.25"/>
    <row r="853" ht="12" customHeight="1" x14ac:dyDescent="0.25"/>
    <row r="854" ht="12" customHeight="1" x14ac:dyDescent="0.25"/>
    <row r="855" ht="12" customHeight="1" x14ac:dyDescent="0.25"/>
    <row r="856" ht="12" customHeight="1" x14ac:dyDescent="0.25"/>
    <row r="857" ht="12" customHeight="1" x14ac:dyDescent="0.25"/>
    <row r="858" ht="12" customHeight="1" x14ac:dyDescent="0.25"/>
    <row r="859" ht="12" customHeight="1" x14ac:dyDescent="0.25"/>
    <row r="860" ht="12" customHeight="1" x14ac:dyDescent="0.25"/>
    <row r="861" ht="12" customHeight="1" x14ac:dyDescent="0.25"/>
    <row r="862" ht="12" customHeight="1" x14ac:dyDescent="0.25"/>
    <row r="863" ht="12" customHeight="1" x14ac:dyDescent="0.25"/>
    <row r="864" ht="12" customHeight="1" x14ac:dyDescent="0.25"/>
    <row r="865" ht="12" customHeight="1" x14ac:dyDescent="0.25"/>
    <row r="866" ht="12" customHeight="1" x14ac:dyDescent="0.25"/>
    <row r="867" ht="12" customHeight="1" x14ac:dyDescent="0.25"/>
    <row r="868" ht="12" customHeight="1" x14ac:dyDescent="0.25"/>
    <row r="869" ht="12" customHeight="1" x14ac:dyDescent="0.25"/>
    <row r="870" ht="12" customHeight="1" x14ac:dyDescent="0.25"/>
    <row r="871" ht="12" customHeight="1" x14ac:dyDescent="0.25"/>
    <row r="872" ht="12" customHeight="1" x14ac:dyDescent="0.25"/>
    <row r="873" ht="12" customHeight="1" x14ac:dyDescent="0.25"/>
    <row r="874" ht="12" customHeight="1" x14ac:dyDescent="0.25"/>
    <row r="875" ht="12" customHeight="1" x14ac:dyDescent="0.25"/>
    <row r="876" ht="12" customHeight="1" x14ac:dyDescent="0.25"/>
    <row r="877" ht="12" customHeight="1" x14ac:dyDescent="0.25"/>
    <row r="878" ht="12" customHeight="1" x14ac:dyDescent="0.25"/>
    <row r="879" ht="12" customHeight="1" x14ac:dyDescent="0.25"/>
    <row r="880" ht="12" customHeight="1" x14ac:dyDescent="0.25"/>
    <row r="881" ht="12" customHeight="1" x14ac:dyDescent="0.25"/>
    <row r="882" ht="12" customHeight="1" x14ac:dyDescent="0.25"/>
    <row r="883" ht="12" customHeight="1" x14ac:dyDescent="0.25"/>
    <row r="884" ht="12" customHeight="1" x14ac:dyDescent="0.25"/>
    <row r="885" ht="12" customHeight="1" x14ac:dyDescent="0.25"/>
    <row r="886" ht="12" customHeight="1" x14ac:dyDescent="0.25"/>
    <row r="887" ht="12" customHeight="1" x14ac:dyDescent="0.25"/>
    <row r="888" ht="12" customHeight="1" x14ac:dyDescent="0.25"/>
    <row r="889" ht="12" customHeight="1" x14ac:dyDescent="0.25"/>
    <row r="890" ht="12" customHeight="1" x14ac:dyDescent="0.25"/>
    <row r="891" ht="12" customHeight="1" x14ac:dyDescent="0.25"/>
    <row r="892" ht="12" customHeight="1" x14ac:dyDescent="0.25"/>
    <row r="893" ht="12" customHeight="1" x14ac:dyDescent="0.25"/>
    <row r="894" ht="12" customHeight="1" x14ac:dyDescent="0.25"/>
    <row r="895" ht="12" customHeight="1" x14ac:dyDescent="0.25"/>
    <row r="896" ht="12" customHeight="1" x14ac:dyDescent="0.25"/>
    <row r="897" ht="12" customHeight="1" x14ac:dyDescent="0.25"/>
    <row r="898" ht="12" customHeight="1" x14ac:dyDescent="0.25"/>
    <row r="899" ht="12" customHeight="1" x14ac:dyDescent="0.25"/>
    <row r="900" ht="12" customHeight="1" x14ac:dyDescent="0.25"/>
    <row r="901" ht="12" customHeight="1" x14ac:dyDescent="0.25"/>
    <row r="902" ht="12" customHeight="1" x14ac:dyDescent="0.25"/>
    <row r="903" ht="12" customHeight="1" x14ac:dyDescent="0.25"/>
    <row r="904" ht="12" customHeight="1" x14ac:dyDescent="0.25"/>
    <row r="905" ht="12" customHeight="1" x14ac:dyDescent="0.25"/>
    <row r="906" ht="12" customHeight="1" x14ac:dyDescent="0.25"/>
    <row r="907" ht="12" customHeight="1" x14ac:dyDescent="0.25"/>
    <row r="908" ht="12" customHeight="1" x14ac:dyDescent="0.25"/>
    <row r="909" ht="12" customHeight="1" x14ac:dyDescent="0.25"/>
    <row r="910" ht="12" customHeight="1" x14ac:dyDescent="0.25"/>
    <row r="911" ht="12" customHeight="1" x14ac:dyDescent="0.25"/>
    <row r="912" ht="12" customHeight="1" x14ac:dyDescent="0.25"/>
    <row r="913" ht="12" customHeight="1" x14ac:dyDescent="0.25"/>
    <row r="914" ht="12" customHeight="1" x14ac:dyDescent="0.25"/>
    <row r="915" ht="12" customHeight="1" x14ac:dyDescent="0.25"/>
    <row r="916" ht="12" customHeight="1" x14ac:dyDescent="0.25"/>
    <row r="917" ht="12" customHeight="1" x14ac:dyDescent="0.25"/>
    <row r="918" ht="12" customHeight="1" x14ac:dyDescent="0.25"/>
    <row r="919" ht="12" customHeight="1" x14ac:dyDescent="0.25"/>
    <row r="920" ht="12" customHeight="1" x14ac:dyDescent="0.25"/>
    <row r="921" ht="12" customHeight="1" x14ac:dyDescent="0.25"/>
    <row r="922" ht="12" customHeight="1" x14ac:dyDescent="0.25"/>
    <row r="923" ht="12" customHeight="1" x14ac:dyDescent="0.25"/>
    <row r="924" ht="12" customHeight="1" x14ac:dyDescent="0.25"/>
    <row r="925" ht="12" customHeight="1" x14ac:dyDescent="0.25"/>
    <row r="926" ht="12" customHeight="1" x14ac:dyDescent="0.25"/>
    <row r="927" ht="12" customHeight="1" x14ac:dyDescent="0.25"/>
    <row r="928" ht="12" customHeight="1" x14ac:dyDescent="0.25"/>
    <row r="929" ht="12" customHeight="1" x14ac:dyDescent="0.25"/>
    <row r="930" ht="12" customHeight="1" x14ac:dyDescent="0.25"/>
    <row r="931" ht="12" customHeight="1" x14ac:dyDescent="0.25"/>
    <row r="932" ht="12" customHeight="1" x14ac:dyDescent="0.25"/>
    <row r="933" ht="12" customHeight="1" x14ac:dyDescent="0.25"/>
    <row r="934" ht="12" customHeight="1" x14ac:dyDescent="0.25"/>
    <row r="935" ht="12" customHeight="1" x14ac:dyDescent="0.25"/>
    <row r="936" ht="12" customHeight="1" x14ac:dyDescent="0.25"/>
    <row r="937" ht="12" customHeight="1" x14ac:dyDescent="0.25"/>
    <row r="938" ht="12" customHeight="1" x14ac:dyDescent="0.25"/>
    <row r="939" ht="12" customHeight="1" x14ac:dyDescent="0.25"/>
    <row r="940" ht="12" customHeight="1" x14ac:dyDescent="0.25"/>
    <row r="941" ht="12" customHeight="1" x14ac:dyDescent="0.25"/>
    <row r="942" ht="12" customHeight="1" x14ac:dyDescent="0.25"/>
    <row r="943" ht="12" customHeight="1" x14ac:dyDescent="0.25"/>
    <row r="944" ht="12" customHeight="1" x14ac:dyDescent="0.25"/>
    <row r="945" ht="12" customHeight="1" x14ac:dyDescent="0.25"/>
    <row r="946" ht="12" customHeight="1" x14ac:dyDescent="0.25"/>
    <row r="947" ht="12" customHeight="1" x14ac:dyDescent="0.25"/>
    <row r="948" ht="12" customHeight="1" x14ac:dyDescent="0.25"/>
    <row r="949" ht="12" customHeight="1" x14ac:dyDescent="0.25"/>
    <row r="950" ht="12" customHeight="1" x14ac:dyDescent="0.25"/>
    <row r="951" ht="12" customHeight="1" x14ac:dyDescent="0.25"/>
    <row r="952" ht="12" customHeight="1" x14ac:dyDescent="0.25"/>
    <row r="953" ht="12" customHeight="1" x14ac:dyDescent="0.25"/>
    <row r="954" ht="12" customHeight="1" x14ac:dyDescent="0.25"/>
    <row r="955" ht="12" customHeight="1" x14ac:dyDescent="0.25"/>
    <row r="956" ht="12" customHeight="1" x14ac:dyDescent="0.25"/>
    <row r="957" ht="12" customHeight="1" x14ac:dyDescent="0.25"/>
    <row r="958" ht="12" customHeight="1" x14ac:dyDescent="0.25"/>
    <row r="959" ht="12" customHeight="1" x14ac:dyDescent="0.25"/>
    <row r="960" ht="12" customHeight="1" x14ac:dyDescent="0.25"/>
    <row r="961" ht="12" customHeight="1" x14ac:dyDescent="0.25"/>
    <row r="962" ht="12" customHeight="1" x14ac:dyDescent="0.25"/>
    <row r="963" ht="12" customHeight="1" x14ac:dyDescent="0.25"/>
    <row r="964" ht="12" customHeight="1" x14ac:dyDescent="0.25"/>
    <row r="965" ht="12" customHeight="1" x14ac:dyDescent="0.25"/>
    <row r="966" ht="12" customHeight="1" x14ac:dyDescent="0.25"/>
    <row r="967" ht="12" customHeight="1" x14ac:dyDescent="0.25"/>
    <row r="968" ht="12" customHeight="1" x14ac:dyDescent="0.25"/>
    <row r="969" ht="12" customHeight="1" x14ac:dyDescent="0.25"/>
    <row r="970" ht="12" customHeight="1" x14ac:dyDescent="0.25"/>
    <row r="971" ht="12" customHeight="1" x14ac:dyDescent="0.25"/>
    <row r="972" ht="12" customHeight="1" x14ac:dyDescent="0.25"/>
    <row r="973" ht="12" customHeight="1" x14ac:dyDescent="0.25"/>
    <row r="974" ht="12" customHeight="1" x14ac:dyDescent="0.25"/>
    <row r="975" ht="12" customHeight="1" x14ac:dyDescent="0.25"/>
    <row r="976" ht="12" customHeight="1" x14ac:dyDescent="0.25"/>
    <row r="977" ht="12" customHeight="1" x14ac:dyDescent="0.25"/>
    <row r="978" ht="12" customHeight="1" x14ac:dyDescent="0.25"/>
    <row r="979" ht="12" customHeight="1" x14ac:dyDescent="0.25"/>
    <row r="980" ht="12" customHeight="1" x14ac:dyDescent="0.25"/>
    <row r="981" ht="12" customHeight="1" x14ac:dyDescent="0.25"/>
    <row r="982" ht="12" customHeight="1" x14ac:dyDescent="0.25"/>
    <row r="983" ht="12" customHeight="1" x14ac:dyDescent="0.25"/>
    <row r="984" ht="12" customHeight="1" x14ac:dyDescent="0.25"/>
    <row r="985" ht="12" customHeight="1" x14ac:dyDescent="0.25"/>
    <row r="986" ht="12" customHeight="1" x14ac:dyDescent="0.25"/>
    <row r="987" ht="12" customHeight="1" x14ac:dyDescent="0.25"/>
    <row r="988" ht="12" customHeight="1" x14ac:dyDescent="0.25"/>
    <row r="989" ht="12" customHeight="1" x14ac:dyDescent="0.25"/>
    <row r="990" ht="12" customHeight="1" x14ac:dyDescent="0.25"/>
    <row r="991" ht="12" customHeight="1" x14ac:dyDescent="0.25"/>
    <row r="992" ht="12" customHeight="1" x14ac:dyDescent="0.25"/>
    <row r="993" ht="12" customHeight="1" x14ac:dyDescent="0.25"/>
    <row r="994" ht="12" customHeight="1" x14ac:dyDescent="0.25"/>
    <row r="995" ht="12" customHeight="1" x14ac:dyDescent="0.25"/>
    <row r="996" ht="12" customHeight="1" x14ac:dyDescent="0.25"/>
    <row r="997" ht="12" customHeight="1" x14ac:dyDescent="0.25"/>
    <row r="998" ht="12" customHeight="1" x14ac:dyDescent="0.25"/>
    <row r="999" ht="12" customHeight="1" x14ac:dyDescent="0.25"/>
    <row r="1000" ht="12" customHeight="1" x14ac:dyDescent="0.25"/>
  </sheetData>
  <pageMargins left="0.7" right="0.7" top="0.75" bottom="0.75" header="0" footer="0"/>
  <pageSetup orientation="landscape"/>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S1000"/>
  <sheetViews>
    <sheetView workbookViewId="0"/>
  </sheetViews>
  <sheetFormatPr baseColWidth="10" defaultColWidth="12.6328125" defaultRowHeight="15" customHeight="1" x14ac:dyDescent="0.25"/>
  <cols>
    <col min="1" max="1" width="16.08984375" customWidth="1"/>
    <col min="2" max="2" width="7.90625" customWidth="1"/>
    <col min="3" max="3" width="8" customWidth="1"/>
    <col min="4" max="17" width="5.36328125" customWidth="1"/>
    <col min="18" max="18" width="7.36328125" customWidth="1"/>
    <col min="19" max="19" width="2.90625" customWidth="1"/>
    <col min="20" max="26" width="10.6328125" customWidth="1"/>
  </cols>
  <sheetData>
    <row r="1" spans="1:19" ht="12" customHeight="1" x14ac:dyDescent="0.25">
      <c r="A1" s="24" t="s">
        <v>39</v>
      </c>
      <c r="B1" s="25">
        <v>8</v>
      </c>
      <c r="C1" s="23"/>
      <c r="D1" s="23"/>
      <c r="E1" s="23"/>
      <c r="F1" s="23"/>
      <c r="G1" s="23"/>
      <c r="H1" s="23"/>
      <c r="I1" s="23"/>
      <c r="J1" s="23"/>
      <c r="K1" s="23"/>
      <c r="L1" s="23"/>
      <c r="M1" s="23"/>
      <c r="N1" s="23"/>
      <c r="O1" s="23"/>
      <c r="P1" s="23"/>
      <c r="Q1" s="23"/>
      <c r="R1" s="23"/>
      <c r="S1" s="23"/>
    </row>
    <row r="2" spans="1:19" ht="12" customHeight="1" x14ac:dyDescent="0.25">
      <c r="A2" s="26" t="s">
        <v>71</v>
      </c>
      <c r="B2" s="26">
        <v>1000</v>
      </c>
      <c r="C2" s="23"/>
      <c r="D2" s="23"/>
      <c r="E2" s="23"/>
      <c r="F2" s="23"/>
      <c r="G2" s="23"/>
      <c r="H2" s="23"/>
      <c r="I2" s="23"/>
      <c r="J2" s="23"/>
      <c r="K2" s="23"/>
      <c r="L2" s="23"/>
      <c r="M2" s="23"/>
      <c r="N2" s="23"/>
      <c r="O2" s="23"/>
      <c r="P2" s="23"/>
      <c r="Q2" s="23"/>
      <c r="R2" s="23"/>
      <c r="S2" s="23"/>
    </row>
    <row r="3" spans="1:19" ht="12" customHeight="1" x14ac:dyDescent="0.25">
      <c r="A3" s="27" t="s">
        <v>72</v>
      </c>
      <c r="B3" s="27">
        <v>15</v>
      </c>
      <c r="C3" s="23"/>
      <c r="D3" s="23"/>
      <c r="E3" s="23"/>
      <c r="F3" s="23"/>
      <c r="G3" s="23"/>
      <c r="H3" s="23"/>
      <c r="I3" s="23"/>
      <c r="J3" s="23"/>
      <c r="K3" s="23"/>
      <c r="L3" s="23"/>
      <c r="M3" s="23"/>
      <c r="N3" s="23"/>
      <c r="O3" s="23"/>
      <c r="P3" s="23"/>
      <c r="Q3" s="23"/>
      <c r="R3" s="23"/>
      <c r="S3" s="23"/>
    </row>
    <row r="4" spans="1:19" ht="12" customHeight="1" x14ac:dyDescent="0.25">
      <c r="A4" s="27" t="s">
        <v>73</v>
      </c>
      <c r="B4" s="28">
        <v>0.1</v>
      </c>
      <c r="C4" s="23"/>
      <c r="D4" s="23"/>
      <c r="E4" s="23"/>
      <c r="F4" s="23"/>
      <c r="G4" s="23"/>
      <c r="H4" s="23"/>
      <c r="I4" s="23"/>
      <c r="J4" s="23"/>
      <c r="K4" s="23"/>
      <c r="L4" s="23"/>
      <c r="M4" s="23"/>
      <c r="N4" s="23"/>
      <c r="O4" s="23"/>
      <c r="P4" s="23"/>
      <c r="Q4" s="23"/>
      <c r="R4" s="23"/>
      <c r="S4" s="23"/>
    </row>
    <row r="5" spans="1:19" ht="12" customHeight="1" x14ac:dyDescent="0.25">
      <c r="A5" s="27" t="s">
        <v>74</v>
      </c>
      <c r="B5" s="27">
        <f>+B4*B2</f>
        <v>100</v>
      </c>
      <c r="C5" s="23"/>
      <c r="D5" s="23"/>
      <c r="E5" s="23"/>
      <c r="F5" s="23"/>
      <c r="G5" s="23"/>
      <c r="H5" s="23"/>
      <c r="I5" s="23"/>
      <c r="J5" s="23"/>
      <c r="K5" s="23"/>
      <c r="L5" s="23"/>
      <c r="M5" s="23"/>
      <c r="N5" s="23"/>
      <c r="O5" s="23"/>
      <c r="P5" s="23"/>
      <c r="Q5" s="23"/>
      <c r="R5" s="23"/>
      <c r="S5" s="23"/>
    </row>
    <row r="6" spans="1:19" ht="12" customHeight="1" x14ac:dyDescent="0.25">
      <c r="A6" s="27" t="s">
        <v>78</v>
      </c>
      <c r="B6" s="28">
        <v>0.1</v>
      </c>
      <c r="C6" s="23"/>
      <c r="D6" s="23"/>
      <c r="E6" s="23"/>
      <c r="F6" s="23"/>
      <c r="G6" s="23"/>
      <c r="H6" s="23"/>
      <c r="I6" s="23"/>
      <c r="J6" s="23"/>
      <c r="K6" s="23"/>
      <c r="L6" s="23"/>
      <c r="M6" s="23"/>
      <c r="N6" s="23"/>
      <c r="O6" s="23"/>
      <c r="P6" s="23"/>
      <c r="Q6" s="23"/>
      <c r="R6" s="23"/>
      <c r="S6" s="23"/>
    </row>
    <row r="7" spans="1:19" ht="12" customHeight="1" x14ac:dyDescent="0.25">
      <c r="A7" s="27" t="s">
        <v>79</v>
      </c>
      <c r="B7" s="55">
        <v>0.15</v>
      </c>
      <c r="C7" s="23"/>
      <c r="D7" s="23"/>
      <c r="E7" s="23"/>
      <c r="F7" s="23"/>
      <c r="G7" s="23"/>
      <c r="H7" s="23"/>
      <c r="I7" s="23"/>
      <c r="J7" s="23"/>
      <c r="K7" s="23"/>
      <c r="L7" s="23"/>
      <c r="M7" s="23"/>
      <c r="N7" s="23"/>
      <c r="O7" s="23"/>
      <c r="P7" s="23"/>
      <c r="Q7" s="23"/>
      <c r="R7" s="23"/>
      <c r="S7" s="23"/>
    </row>
    <row r="8" spans="1:19" ht="12" customHeight="1" x14ac:dyDescent="0.25">
      <c r="A8" s="43" t="s">
        <v>80</v>
      </c>
      <c r="B8" s="56">
        <v>0.05</v>
      </c>
      <c r="C8" s="23"/>
      <c r="D8" s="23">
        <v>1</v>
      </c>
      <c r="E8" s="23">
        <f t="shared" ref="E8:R8" si="0">+D8+1</f>
        <v>2</v>
      </c>
      <c r="F8" s="23">
        <f t="shared" si="0"/>
        <v>3</v>
      </c>
      <c r="G8" s="23">
        <f t="shared" si="0"/>
        <v>4</v>
      </c>
      <c r="H8" s="23">
        <f t="shared" si="0"/>
        <v>5</v>
      </c>
      <c r="I8" s="23">
        <f t="shared" si="0"/>
        <v>6</v>
      </c>
      <c r="J8" s="23">
        <f t="shared" si="0"/>
        <v>7</v>
      </c>
      <c r="K8" s="23">
        <f t="shared" si="0"/>
        <v>8</v>
      </c>
      <c r="L8" s="23">
        <f t="shared" si="0"/>
        <v>9</v>
      </c>
      <c r="M8" s="23">
        <f t="shared" si="0"/>
        <v>10</v>
      </c>
      <c r="N8" s="23">
        <f t="shared" si="0"/>
        <v>11</v>
      </c>
      <c r="O8" s="23">
        <f t="shared" si="0"/>
        <v>12</v>
      </c>
      <c r="P8" s="23">
        <f t="shared" si="0"/>
        <v>13</v>
      </c>
      <c r="Q8" s="23">
        <f t="shared" si="0"/>
        <v>14</v>
      </c>
      <c r="R8" s="23">
        <f t="shared" si="0"/>
        <v>15</v>
      </c>
      <c r="S8" s="23"/>
    </row>
    <row r="9" spans="1:19" ht="12" customHeight="1" x14ac:dyDescent="0.25">
      <c r="A9" s="29" t="s">
        <v>75</v>
      </c>
      <c r="B9" s="30">
        <f t="shared" ref="B9:B11" si="1">+R9</f>
        <v>48.101709809097017</v>
      </c>
      <c r="C9" s="23"/>
      <c r="D9" s="54">
        <f t="shared" ref="D9:H9" si="2">$B$5/(1+$B$6)^D$8</f>
        <v>90.909090909090907</v>
      </c>
      <c r="E9" s="54">
        <f t="shared" si="2"/>
        <v>82.644628099173545</v>
      </c>
      <c r="F9" s="54">
        <f t="shared" si="2"/>
        <v>75.131480090157751</v>
      </c>
      <c r="G9" s="54">
        <f t="shared" si="2"/>
        <v>68.301345536507057</v>
      </c>
      <c r="H9" s="54">
        <f t="shared" si="2"/>
        <v>62.092132305915499</v>
      </c>
      <c r="I9" s="54">
        <f t="shared" ref="I9:M9" si="3">$B$5/(1+$B$7)^I$8</f>
        <v>43.232759591155649</v>
      </c>
      <c r="J9" s="54">
        <f t="shared" si="3"/>
        <v>37.593703992309266</v>
      </c>
      <c r="K9" s="54">
        <f t="shared" si="3"/>
        <v>32.690177384616753</v>
      </c>
      <c r="L9" s="54">
        <f t="shared" si="3"/>
        <v>28.426241204014573</v>
      </c>
      <c r="M9" s="54">
        <f t="shared" si="3"/>
        <v>24.718470612186586</v>
      </c>
      <c r="N9" s="54">
        <f t="shared" ref="N9:R9" si="4">$B$5/(1+$B$8)^N$8</f>
        <v>58.467928908643742</v>
      </c>
      <c r="O9" s="54">
        <f t="shared" si="4"/>
        <v>55.683741817755951</v>
      </c>
      <c r="P9" s="54">
        <f t="shared" si="4"/>
        <v>53.03213506452947</v>
      </c>
      <c r="Q9" s="54">
        <f t="shared" si="4"/>
        <v>50.506795299551882</v>
      </c>
      <c r="R9" s="54">
        <f t="shared" si="4"/>
        <v>48.101709809097017</v>
      </c>
      <c r="S9" s="23"/>
    </row>
    <row r="10" spans="1:19" ht="12" customHeight="1" x14ac:dyDescent="0.25">
      <c r="A10" s="29" t="s">
        <v>76</v>
      </c>
      <c r="B10" s="30">
        <f t="shared" si="1"/>
        <v>239.3920493691634</v>
      </c>
      <c r="C10" s="23"/>
      <c r="D10" s="54">
        <v>0</v>
      </c>
      <c r="E10" s="54">
        <v>0</v>
      </c>
      <c r="F10" s="54">
        <v>0</v>
      </c>
      <c r="G10" s="54">
        <v>0</v>
      </c>
      <c r="H10" s="54">
        <v>0</v>
      </c>
      <c r="I10" s="54">
        <v>0</v>
      </c>
      <c r="J10" s="54">
        <v>0</v>
      </c>
      <c r="K10" s="54">
        <v>0</v>
      </c>
      <c r="L10" s="54">
        <v>0</v>
      </c>
      <c r="M10" s="54">
        <v>0</v>
      </c>
      <c r="N10" s="54">
        <v>0</v>
      </c>
      <c r="O10" s="54">
        <v>0</v>
      </c>
      <c r="P10" s="54">
        <v>0</v>
      </c>
      <c r="Q10" s="54">
        <v>0</v>
      </c>
      <c r="R10" s="54">
        <f>$B$2/(1+$B$6)^R$8</f>
        <v>239.3920493691634</v>
      </c>
      <c r="S10" s="23"/>
    </row>
    <row r="11" spans="1:19" ht="12" customHeight="1" x14ac:dyDescent="0.25">
      <c r="A11" s="29" t="s">
        <v>77</v>
      </c>
      <c r="B11" s="30">
        <f t="shared" si="1"/>
        <v>1050.924389993869</v>
      </c>
      <c r="C11" s="23"/>
      <c r="D11" s="23"/>
      <c r="E11" s="23"/>
      <c r="F11" s="23"/>
      <c r="G11" s="23"/>
      <c r="H11" s="23"/>
      <c r="I11" s="23"/>
      <c r="J11" s="23"/>
      <c r="K11" s="23"/>
      <c r="L11" s="23"/>
      <c r="M11" s="23"/>
      <c r="N11" s="23"/>
      <c r="O11" s="23"/>
      <c r="P11" s="23"/>
      <c r="Q11" s="23"/>
      <c r="R11" s="57">
        <f>SUM(D9:R9)+R10</f>
        <v>1050.924389993869</v>
      </c>
      <c r="S11" s="23"/>
    </row>
    <row r="12" spans="1:19" ht="12" customHeight="1" x14ac:dyDescent="0.25">
      <c r="A12" s="24" t="s">
        <v>39</v>
      </c>
      <c r="B12" s="25">
        <v>9</v>
      </c>
      <c r="C12" s="23"/>
      <c r="D12" s="23">
        <v>1</v>
      </c>
      <c r="E12" s="23">
        <f t="shared" ref="E12:Q12" si="5">+D12+1</f>
        <v>2</v>
      </c>
      <c r="F12" s="23">
        <f t="shared" si="5"/>
        <v>3</v>
      </c>
      <c r="G12" s="23">
        <f t="shared" si="5"/>
        <v>4</v>
      </c>
      <c r="H12" s="23">
        <f t="shared" si="5"/>
        <v>5</v>
      </c>
      <c r="I12" s="23">
        <f t="shared" si="5"/>
        <v>6</v>
      </c>
      <c r="J12" s="23">
        <f t="shared" si="5"/>
        <v>7</v>
      </c>
      <c r="K12" s="23">
        <f t="shared" si="5"/>
        <v>8</v>
      </c>
      <c r="L12" s="23">
        <f t="shared" si="5"/>
        <v>9</v>
      </c>
      <c r="M12" s="23">
        <f t="shared" si="5"/>
        <v>10</v>
      </c>
      <c r="N12" s="23">
        <f t="shared" si="5"/>
        <v>11</v>
      </c>
      <c r="O12" s="23">
        <f t="shared" si="5"/>
        <v>12</v>
      </c>
      <c r="P12" s="23">
        <f t="shared" si="5"/>
        <v>13</v>
      </c>
      <c r="Q12" s="23">
        <f t="shared" si="5"/>
        <v>14</v>
      </c>
      <c r="R12" s="23"/>
      <c r="S12" s="23"/>
    </row>
    <row r="13" spans="1:19" ht="12" customHeight="1" x14ac:dyDescent="0.25">
      <c r="A13" s="29" t="s">
        <v>81</v>
      </c>
      <c r="B13" s="31">
        <f>IRR(C13:Q13)</f>
        <v>5.0000156702243004E-2</v>
      </c>
      <c r="C13" s="54">
        <f>-1494.93</f>
        <v>-1494.93</v>
      </c>
      <c r="D13" s="23">
        <f t="shared" ref="D13:P13" si="6">+$B$5</f>
        <v>100</v>
      </c>
      <c r="E13" s="23">
        <f t="shared" si="6"/>
        <v>100</v>
      </c>
      <c r="F13" s="23">
        <f t="shared" si="6"/>
        <v>100</v>
      </c>
      <c r="G13" s="23">
        <f t="shared" si="6"/>
        <v>100</v>
      </c>
      <c r="H13" s="23">
        <f t="shared" si="6"/>
        <v>100</v>
      </c>
      <c r="I13" s="23">
        <f t="shared" si="6"/>
        <v>100</v>
      </c>
      <c r="J13" s="23">
        <f t="shared" si="6"/>
        <v>100</v>
      </c>
      <c r="K13" s="23">
        <f t="shared" si="6"/>
        <v>100</v>
      </c>
      <c r="L13" s="23">
        <f t="shared" si="6"/>
        <v>100</v>
      </c>
      <c r="M13" s="23">
        <f t="shared" si="6"/>
        <v>100</v>
      </c>
      <c r="N13" s="23">
        <f t="shared" si="6"/>
        <v>100</v>
      </c>
      <c r="O13" s="23">
        <f t="shared" si="6"/>
        <v>100</v>
      </c>
      <c r="P13" s="23">
        <f t="shared" si="6"/>
        <v>100</v>
      </c>
      <c r="Q13" s="23">
        <v>1100</v>
      </c>
      <c r="R13" s="23"/>
      <c r="S13" s="23"/>
    </row>
    <row r="14" spans="1:19" ht="12" customHeight="1" x14ac:dyDescent="0.25">
      <c r="A14" s="23"/>
      <c r="B14" s="23"/>
      <c r="C14" s="23"/>
      <c r="D14" s="23"/>
      <c r="E14" s="23"/>
      <c r="F14" s="23"/>
      <c r="G14" s="23"/>
      <c r="H14" s="23"/>
      <c r="I14" s="23"/>
      <c r="J14" s="23"/>
      <c r="K14" s="23"/>
      <c r="L14" s="23"/>
      <c r="M14" s="23"/>
      <c r="N14" s="23"/>
      <c r="O14" s="23"/>
      <c r="P14" s="23"/>
      <c r="Q14" s="23"/>
      <c r="R14" s="23"/>
      <c r="S14" s="23"/>
    </row>
    <row r="15" spans="1:19" ht="12" customHeight="1" x14ac:dyDescent="0.25"/>
    <row r="16" spans="1:19" ht="12" customHeight="1" x14ac:dyDescent="0.25"/>
    <row r="17" ht="12" customHeight="1" x14ac:dyDescent="0.25"/>
    <row r="18" ht="12" customHeight="1" x14ac:dyDescent="0.25"/>
    <row r="19" ht="12" customHeight="1" x14ac:dyDescent="0.25"/>
    <row r="20" ht="12" customHeight="1" x14ac:dyDescent="0.25"/>
    <row r="21" ht="12" customHeight="1" x14ac:dyDescent="0.25"/>
    <row r="22" ht="12" customHeight="1" x14ac:dyDescent="0.25"/>
    <row r="23" ht="12" customHeight="1" x14ac:dyDescent="0.25"/>
    <row r="24" ht="12" customHeight="1" x14ac:dyDescent="0.25"/>
    <row r="25" ht="12" customHeight="1" x14ac:dyDescent="0.25"/>
    <row r="26" ht="12" customHeight="1" x14ac:dyDescent="0.25"/>
    <row r="27" ht="12" customHeight="1" x14ac:dyDescent="0.25"/>
    <row r="28" ht="12" customHeight="1" x14ac:dyDescent="0.25"/>
    <row r="29" ht="12" customHeight="1" x14ac:dyDescent="0.25"/>
    <row r="30" ht="12" customHeight="1" x14ac:dyDescent="0.25"/>
    <row r="31" ht="12" customHeight="1" x14ac:dyDescent="0.25"/>
    <row r="32" ht="12" customHeight="1" x14ac:dyDescent="0.25"/>
    <row r="33" ht="12" customHeight="1" x14ac:dyDescent="0.25"/>
    <row r="34" ht="12" customHeight="1" x14ac:dyDescent="0.25"/>
    <row r="35" ht="12" customHeight="1" x14ac:dyDescent="0.25"/>
    <row r="36" ht="12" customHeight="1" x14ac:dyDescent="0.25"/>
    <row r="37" ht="12" customHeight="1" x14ac:dyDescent="0.25"/>
    <row r="38" ht="12" customHeight="1" x14ac:dyDescent="0.25"/>
    <row r="39" ht="12" customHeight="1" x14ac:dyDescent="0.25"/>
    <row r="40" ht="12" customHeight="1" x14ac:dyDescent="0.25"/>
    <row r="41" ht="12" customHeight="1" x14ac:dyDescent="0.25"/>
    <row r="42" ht="12" customHeight="1" x14ac:dyDescent="0.25"/>
    <row r="43" ht="12" customHeight="1" x14ac:dyDescent="0.25"/>
    <row r="44" ht="12" customHeight="1" x14ac:dyDescent="0.25"/>
    <row r="45" ht="12" customHeight="1" x14ac:dyDescent="0.25"/>
    <row r="46" ht="12" customHeight="1" x14ac:dyDescent="0.25"/>
    <row r="47" ht="12" customHeight="1" x14ac:dyDescent="0.25"/>
    <row r="48" ht="12" customHeight="1" x14ac:dyDescent="0.25"/>
    <row r="49" ht="12" customHeight="1" x14ac:dyDescent="0.25"/>
    <row r="50" ht="12" customHeight="1" x14ac:dyDescent="0.25"/>
    <row r="51" ht="12" customHeight="1" x14ac:dyDescent="0.25"/>
    <row r="52" ht="12" customHeight="1" x14ac:dyDescent="0.25"/>
    <row r="53" ht="12" customHeight="1" x14ac:dyDescent="0.25"/>
    <row r="54" ht="12" customHeight="1" x14ac:dyDescent="0.25"/>
    <row r="55" ht="12" customHeight="1" x14ac:dyDescent="0.25"/>
    <row r="56" ht="12" customHeight="1" x14ac:dyDescent="0.25"/>
    <row r="57" ht="12" customHeight="1" x14ac:dyDescent="0.25"/>
    <row r="58" ht="12" customHeight="1" x14ac:dyDescent="0.25"/>
    <row r="59" ht="12" customHeight="1" x14ac:dyDescent="0.25"/>
    <row r="60" ht="12" customHeight="1" x14ac:dyDescent="0.25"/>
    <row r="61" ht="12" customHeight="1" x14ac:dyDescent="0.25"/>
    <row r="62" ht="12" customHeight="1" x14ac:dyDescent="0.25"/>
    <row r="63" ht="12" customHeight="1" x14ac:dyDescent="0.25"/>
    <row r="64" ht="12" customHeight="1" x14ac:dyDescent="0.25"/>
    <row r="65" ht="12" customHeight="1" x14ac:dyDescent="0.25"/>
    <row r="66" ht="12" customHeight="1" x14ac:dyDescent="0.25"/>
    <row r="67" ht="12" customHeight="1" x14ac:dyDescent="0.25"/>
    <row r="68" ht="12" customHeight="1" x14ac:dyDescent="0.25"/>
    <row r="69" ht="12" customHeight="1" x14ac:dyDescent="0.25"/>
    <row r="70" ht="12" customHeight="1" x14ac:dyDescent="0.25"/>
    <row r="71" ht="12" customHeight="1" x14ac:dyDescent="0.25"/>
    <row r="72" ht="12" customHeight="1" x14ac:dyDescent="0.25"/>
    <row r="73" ht="12" customHeight="1" x14ac:dyDescent="0.25"/>
    <row r="74" ht="12" customHeight="1" x14ac:dyDescent="0.25"/>
    <row r="75" ht="12" customHeight="1" x14ac:dyDescent="0.25"/>
    <row r="76" ht="12" customHeight="1" x14ac:dyDescent="0.25"/>
    <row r="77" ht="12" customHeight="1" x14ac:dyDescent="0.25"/>
    <row r="78" ht="12" customHeight="1" x14ac:dyDescent="0.25"/>
    <row r="79" ht="12" customHeight="1" x14ac:dyDescent="0.25"/>
    <row r="80" ht="12" customHeight="1" x14ac:dyDescent="0.25"/>
    <row r="81" ht="12" customHeight="1" x14ac:dyDescent="0.25"/>
    <row r="82" ht="12" customHeight="1" x14ac:dyDescent="0.25"/>
    <row r="83" ht="12" customHeight="1" x14ac:dyDescent="0.25"/>
    <row r="84" ht="12" customHeight="1" x14ac:dyDescent="0.25"/>
    <row r="85" ht="12" customHeight="1" x14ac:dyDescent="0.25"/>
    <row r="86" ht="12" customHeight="1" x14ac:dyDescent="0.25"/>
    <row r="87" ht="12" customHeight="1" x14ac:dyDescent="0.25"/>
    <row r="88" ht="12" customHeight="1" x14ac:dyDescent="0.25"/>
    <row r="89" ht="12" customHeight="1" x14ac:dyDescent="0.25"/>
    <row r="90" ht="12" customHeight="1" x14ac:dyDescent="0.25"/>
    <row r="91" ht="12" customHeight="1" x14ac:dyDescent="0.25"/>
    <row r="92" ht="12" customHeight="1" x14ac:dyDescent="0.25"/>
    <row r="93" ht="12" customHeight="1" x14ac:dyDescent="0.25"/>
    <row r="94" ht="12" customHeight="1" x14ac:dyDescent="0.25"/>
    <row r="95" ht="12" customHeight="1" x14ac:dyDescent="0.25"/>
    <row r="96" ht="12" customHeight="1" x14ac:dyDescent="0.25"/>
    <row r="97" ht="12" customHeight="1" x14ac:dyDescent="0.25"/>
    <row r="98" ht="12" customHeight="1" x14ac:dyDescent="0.25"/>
    <row r="99" ht="12" customHeight="1" x14ac:dyDescent="0.25"/>
    <row r="100" ht="12" customHeight="1" x14ac:dyDescent="0.25"/>
    <row r="101" ht="12" customHeight="1" x14ac:dyDescent="0.25"/>
    <row r="102" ht="12" customHeight="1" x14ac:dyDescent="0.25"/>
    <row r="103" ht="12" customHeight="1" x14ac:dyDescent="0.25"/>
    <row r="104" ht="12" customHeight="1" x14ac:dyDescent="0.25"/>
    <row r="105" ht="12" customHeight="1" x14ac:dyDescent="0.25"/>
    <row r="106" ht="12" customHeight="1" x14ac:dyDescent="0.25"/>
    <row r="107" ht="12" customHeight="1" x14ac:dyDescent="0.25"/>
    <row r="108" ht="12" customHeight="1" x14ac:dyDescent="0.25"/>
    <row r="109" ht="12" customHeight="1" x14ac:dyDescent="0.25"/>
    <row r="110" ht="12" customHeight="1" x14ac:dyDescent="0.25"/>
    <row r="111" ht="12" customHeight="1" x14ac:dyDescent="0.25"/>
    <row r="112" ht="12" customHeight="1" x14ac:dyDescent="0.25"/>
    <row r="113" ht="12" customHeight="1" x14ac:dyDescent="0.25"/>
    <row r="114" ht="12" customHeight="1" x14ac:dyDescent="0.25"/>
    <row r="115" ht="12" customHeight="1" x14ac:dyDescent="0.25"/>
    <row r="116" ht="12" customHeight="1" x14ac:dyDescent="0.25"/>
    <row r="117" ht="12" customHeight="1" x14ac:dyDescent="0.25"/>
    <row r="118" ht="12" customHeight="1" x14ac:dyDescent="0.25"/>
    <row r="119" ht="12" customHeight="1" x14ac:dyDescent="0.25"/>
    <row r="120" ht="12" customHeight="1" x14ac:dyDescent="0.25"/>
    <row r="121" ht="12" customHeight="1" x14ac:dyDescent="0.25"/>
    <row r="122" ht="12" customHeight="1" x14ac:dyDescent="0.25"/>
    <row r="123" ht="12" customHeight="1" x14ac:dyDescent="0.25"/>
    <row r="124" ht="12" customHeight="1" x14ac:dyDescent="0.25"/>
    <row r="125" ht="12" customHeight="1" x14ac:dyDescent="0.25"/>
    <row r="126" ht="12" customHeight="1" x14ac:dyDescent="0.25"/>
    <row r="127" ht="12" customHeight="1" x14ac:dyDescent="0.25"/>
    <row r="128" ht="12" customHeight="1" x14ac:dyDescent="0.25"/>
    <row r="129" ht="12" customHeight="1" x14ac:dyDescent="0.25"/>
    <row r="130" ht="12" customHeight="1" x14ac:dyDescent="0.25"/>
    <row r="131" ht="12" customHeight="1" x14ac:dyDescent="0.25"/>
    <row r="132" ht="12" customHeight="1" x14ac:dyDescent="0.25"/>
    <row r="133" ht="12" customHeight="1" x14ac:dyDescent="0.25"/>
    <row r="134" ht="12" customHeight="1" x14ac:dyDescent="0.25"/>
    <row r="135" ht="12" customHeight="1" x14ac:dyDescent="0.25"/>
    <row r="136" ht="12" customHeight="1" x14ac:dyDescent="0.25"/>
    <row r="137" ht="12" customHeight="1" x14ac:dyDescent="0.25"/>
    <row r="138" ht="12" customHeight="1" x14ac:dyDescent="0.25"/>
    <row r="139" ht="12" customHeight="1" x14ac:dyDescent="0.25"/>
    <row r="140" ht="12" customHeight="1" x14ac:dyDescent="0.25"/>
    <row r="141" ht="12" customHeight="1" x14ac:dyDescent="0.25"/>
    <row r="142" ht="12" customHeight="1" x14ac:dyDescent="0.25"/>
    <row r="143" ht="12" customHeight="1" x14ac:dyDescent="0.25"/>
    <row r="144" ht="12" customHeight="1" x14ac:dyDescent="0.25"/>
    <row r="145" ht="12" customHeight="1" x14ac:dyDescent="0.25"/>
    <row r="146" ht="12" customHeight="1" x14ac:dyDescent="0.25"/>
    <row r="147" ht="12" customHeight="1" x14ac:dyDescent="0.25"/>
    <row r="148" ht="12" customHeight="1" x14ac:dyDescent="0.25"/>
    <row r="149" ht="12" customHeight="1" x14ac:dyDescent="0.25"/>
    <row r="150" ht="12" customHeight="1" x14ac:dyDescent="0.25"/>
    <row r="151" ht="12" customHeight="1" x14ac:dyDescent="0.25"/>
    <row r="152" ht="12" customHeight="1" x14ac:dyDescent="0.25"/>
    <row r="153" ht="12" customHeight="1" x14ac:dyDescent="0.25"/>
    <row r="154" ht="12" customHeight="1" x14ac:dyDescent="0.25"/>
    <row r="155" ht="12" customHeight="1" x14ac:dyDescent="0.25"/>
    <row r="156" ht="12" customHeight="1" x14ac:dyDescent="0.25"/>
    <row r="157" ht="12" customHeight="1" x14ac:dyDescent="0.25"/>
    <row r="158" ht="12" customHeight="1" x14ac:dyDescent="0.25"/>
    <row r="159" ht="12" customHeight="1" x14ac:dyDescent="0.25"/>
    <row r="160" ht="12" customHeight="1" x14ac:dyDescent="0.25"/>
    <row r="161" ht="12" customHeight="1" x14ac:dyDescent="0.25"/>
    <row r="162" ht="12" customHeight="1" x14ac:dyDescent="0.25"/>
    <row r="163" ht="12" customHeight="1" x14ac:dyDescent="0.25"/>
    <row r="164" ht="12" customHeight="1" x14ac:dyDescent="0.25"/>
    <row r="165" ht="12" customHeight="1" x14ac:dyDescent="0.25"/>
    <row r="166" ht="12" customHeight="1" x14ac:dyDescent="0.25"/>
    <row r="167" ht="12" customHeight="1" x14ac:dyDescent="0.25"/>
    <row r="168" ht="12" customHeight="1" x14ac:dyDescent="0.25"/>
    <row r="169" ht="12" customHeight="1" x14ac:dyDescent="0.25"/>
    <row r="170" ht="12" customHeight="1" x14ac:dyDescent="0.25"/>
    <row r="171" ht="12" customHeight="1" x14ac:dyDescent="0.25"/>
    <row r="172" ht="12" customHeight="1" x14ac:dyDescent="0.25"/>
    <row r="173" ht="12" customHeight="1" x14ac:dyDescent="0.25"/>
    <row r="174" ht="12" customHeight="1" x14ac:dyDescent="0.25"/>
    <row r="175" ht="12" customHeight="1" x14ac:dyDescent="0.25"/>
    <row r="176" ht="12" customHeight="1" x14ac:dyDescent="0.25"/>
    <row r="177" ht="12" customHeight="1" x14ac:dyDescent="0.25"/>
    <row r="178" ht="12" customHeight="1" x14ac:dyDescent="0.25"/>
    <row r="179" ht="12" customHeight="1" x14ac:dyDescent="0.25"/>
    <row r="180" ht="12" customHeight="1" x14ac:dyDescent="0.25"/>
    <row r="181" ht="12" customHeight="1" x14ac:dyDescent="0.25"/>
    <row r="182" ht="12" customHeight="1" x14ac:dyDescent="0.25"/>
    <row r="183" ht="12" customHeight="1" x14ac:dyDescent="0.25"/>
    <row r="184" ht="12" customHeight="1" x14ac:dyDescent="0.25"/>
    <row r="185" ht="12" customHeight="1" x14ac:dyDescent="0.25"/>
    <row r="186" ht="12" customHeight="1" x14ac:dyDescent="0.25"/>
    <row r="187" ht="12" customHeight="1" x14ac:dyDescent="0.25"/>
    <row r="188" ht="12" customHeight="1" x14ac:dyDescent="0.25"/>
    <row r="189" ht="12" customHeight="1" x14ac:dyDescent="0.25"/>
    <row r="190" ht="12" customHeight="1" x14ac:dyDescent="0.25"/>
    <row r="191" ht="12" customHeight="1" x14ac:dyDescent="0.25"/>
    <row r="192" ht="12" customHeight="1" x14ac:dyDescent="0.25"/>
    <row r="193" ht="12" customHeight="1" x14ac:dyDescent="0.25"/>
    <row r="194" ht="12" customHeight="1" x14ac:dyDescent="0.25"/>
    <row r="195" ht="12" customHeight="1" x14ac:dyDescent="0.25"/>
    <row r="196" ht="12" customHeight="1" x14ac:dyDescent="0.25"/>
    <row r="197" ht="12" customHeight="1" x14ac:dyDescent="0.25"/>
    <row r="198" ht="12" customHeight="1" x14ac:dyDescent="0.25"/>
    <row r="199" ht="12" customHeight="1" x14ac:dyDescent="0.25"/>
    <row r="200" ht="12" customHeight="1" x14ac:dyDescent="0.25"/>
    <row r="201" ht="12" customHeight="1" x14ac:dyDescent="0.25"/>
    <row r="202" ht="12" customHeight="1" x14ac:dyDescent="0.25"/>
    <row r="203" ht="12" customHeight="1" x14ac:dyDescent="0.25"/>
    <row r="204" ht="12" customHeight="1" x14ac:dyDescent="0.25"/>
    <row r="205" ht="12" customHeight="1" x14ac:dyDescent="0.25"/>
    <row r="206" ht="12" customHeight="1" x14ac:dyDescent="0.25"/>
    <row r="207" ht="12" customHeight="1" x14ac:dyDescent="0.25"/>
    <row r="208" ht="12" customHeight="1" x14ac:dyDescent="0.25"/>
    <row r="209" ht="12" customHeight="1" x14ac:dyDescent="0.25"/>
    <row r="210" ht="12" customHeight="1" x14ac:dyDescent="0.25"/>
    <row r="211" ht="12" customHeight="1" x14ac:dyDescent="0.25"/>
    <row r="212" ht="12" customHeight="1" x14ac:dyDescent="0.25"/>
    <row r="213" ht="12" customHeight="1" x14ac:dyDescent="0.25"/>
    <row r="214" ht="12" customHeight="1" x14ac:dyDescent="0.25"/>
    <row r="215" ht="12" customHeight="1" x14ac:dyDescent="0.25"/>
    <row r="216" ht="12" customHeight="1" x14ac:dyDescent="0.25"/>
    <row r="217" ht="12" customHeight="1" x14ac:dyDescent="0.25"/>
    <row r="218" ht="12" customHeight="1" x14ac:dyDescent="0.25"/>
    <row r="219" ht="12" customHeight="1" x14ac:dyDescent="0.25"/>
    <row r="220" ht="12" customHeight="1" x14ac:dyDescent="0.25"/>
    <row r="221" ht="12" customHeight="1" x14ac:dyDescent="0.25"/>
    <row r="222" ht="12" customHeight="1" x14ac:dyDescent="0.25"/>
    <row r="223" ht="12" customHeight="1" x14ac:dyDescent="0.25"/>
    <row r="224" ht="12" customHeight="1" x14ac:dyDescent="0.25"/>
    <row r="225" ht="12" customHeight="1" x14ac:dyDescent="0.25"/>
    <row r="226" ht="12" customHeight="1" x14ac:dyDescent="0.25"/>
    <row r="227" ht="12" customHeight="1" x14ac:dyDescent="0.25"/>
    <row r="228" ht="12" customHeight="1" x14ac:dyDescent="0.25"/>
    <row r="229" ht="12" customHeight="1" x14ac:dyDescent="0.25"/>
    <row r="230" ht="12" customHeight="1" x14ac:dyDescent="0.25"/>
    <row r="231" ht="12" customHeight="1" x14ac:dyDescent="0.25"/>
    <row r="232" ht="12" customHeight="1" x14ac:dyDescent="0.25"/>
    <row r="233" ht="12" customHeight="1" x14ac:dyDescent="0.25"/>
    <row r="234" ht="12" customHeight="1" x14ac:dyDescent="0.25"/>
    <row r="235" ht="12" customHeight="1" x14ac:dyDescent="0.25"/>
    <row r="236" ht="12" customHeight="1" x14ac:dyDescent="0.25"/>
    <row r="237" ht="12" customHeight="1" x14ac:dyDescent="0.25"/>
    <row r="238" ht="12" customHeight="1" x14ac:dyDescent="0.25"/>
    <row r="239" ht="12" customHeight="1" x14ac:dyDescent="0.25"/>
    <row r="240" ht="12" customHeight="1" x14ac:dyDescent="0.25"/>
    <row r="241" ht="12" customHeight="1" x14ac:dyDescent="0.25"/>
    <row r="242" ht="12" customHeight="1" x14ac:dyDescent="0.25"/>
    <row r="243" ht="12" customHeight="1" x14ac:dyDescent="0.25"/>
    <row r="244" ht="12" customHeight="1" x14ac:dyDescent="0.25"/>
    <row r="245" ht="12" customHeight="1" x14ac:dyDescent="0.25"/>
    <row r="246" ht="12" customHeight="1" x14ac:dyDescent="0.25"/>
    <row r="247" ht="12" customHeight="1" x14ac:dyDescent="0.25"/>
    <row r="248" ht="12" customHeight="1" x14ac:dyDescent="0.25"/>
    <row r="249" ht="12" customHeight="1" x14ac:dyDescent="0.25"/>
    <row r="250" ht="12" customHeight="1" x14ac:dyDescent="0.25"/>
    <row r="251" ht="12" customHeight="1" x14ac:dyDescent="0.25"/>
    <row r="252" ht="12" customHeight="1" x14ac:dyDescent="0.25"/>
    <row r="253" ht="12" customHeight="1" x14ac:dyDescent="0.25"/>
    <row r="254" ht="12" customHeight="1" x14ac:dyDescent="0.25"/>
    <row r="255" ht="12" customHeight="1" x14ac:dyDescent="0.25"/>
    <row r="256" ht="12" customHeight="1" x14ac:dyDescent="0.25"/>
    <row r="257" ht="12" customHeight="1" x14ac:dyDescent="0.25"/>
    <row r="258" ht="12" customHeight="1" x14ac:dyDescent="0.25"/>
    <row r="259" ht="12" customHeight="1" x14ac:dyDescent="0.25"/>
    <row r="260" ht="12" customHeight="1" x14ac:dyDescent="0.25"/>
    <row r="261" ht="12" customHeight="1" x14ac:dyDescent="0.25"/>
    <row r="262" ht="12" customHeight="1" x14ac:dyDescent="0.25"/>
    <row r="263" ht="12" customHeight="1" x14ac:dyDescent="0.25"/>
    <row r="264" ht="12" customHeight="1" x14ac:dyDescent="0.25"/>
    <row r="265" ht="12" customHeight="1" x14ac:dyDescent="0.25"/>
    <row r="266" ht="12" customHeight="1" x14ac:dyDescent="0.25"/>
    <row r="267" ht="12" customHeight="1" x14ac:dyDescent="0.25"/>
    <row r="268" ht="12" customHeight="1" x14ac:dyDescent="0.25"/>
    <row r="269" ht="12" customHeight="1" x14ac:dyDescent="0.25"/>
    <row r="270" ht="12" customHeight="1" x14ac:dyDescent="0.25"/>
    <row r="271" ht="12" customHeight="1" x14ac:dyDescent="0.25"/>
    <row r="272" ht="12" customHeight="1" x14ac:dyDescent="0.25"/>
    <row r="273" ht="12" customHeight="1" x14ac:dyDescent="0.25"/>
    <row r="274" ht="12" customHeight="1" x14ac:dyDescent="0.25"/>
    <row r="275" ht="12" customHeight="1" x14ac:dyDescent="0.25"/>
    <row r="276" ht="12" customHeight="1" x14ac:dyDescent="0.25"/>
    <row r="277" ht="12" customHeight="1" x14ac:dyDescent="0.25"/>
    <row r="278" ht="12" customHeight="1" x14ac:dyDescent="0.25"/>
    <row r="279" ht="12" customHeight="1" x14ac:dyDescent="0.25"/>
    <row r="280" ht="12" customHeight="1" x14ac:dyDescent="0.25"/>
    <row r="281" ht="12" customHeight="1" x14ac:dyDescent="0.25"/>
    <row r="282" ht="12" customHeight="1" x14ac:dyDescent="0.25"/>
    <row r="283" ht="12" customHeight="1" x14ac:dyDescent="0.25"/>
    <row r="284" ht="12" customHeight="1" x14ac:dyDescent="0.25"/>
    <row r="285" ht="12" customHeight="1" x14ac:dyDescent="0.25"/>
    <row r="286" ht="12" customHeight="1" x14ac:dyDescent="0.25"/>
    <row r="287" ht="12" customHeight="1" x14ac:dyDescent="0.25"/>
    <row r="288" ht="12" customHeight="1" x14ac:dyDescent="0.25"/>
    <row r="289" ht="12" customHeight="1" x14ac:dyDescent="0.25"/>
    <row r="290" ht="12" customHeight="1" x14ac:dyDescent="0.25"/>
    <row r="291" ht="12" customHeight="1" x14ac:dyDescent="0.25"/>
    <row r="292" ht="12" customHeight="1" x14ac:dyDescent="0.25"/>
    <row r="293" ht="12" customHeight="1" x14ac:dyDescent="0.25"/>
    <row r="294" ht="12" customHeight="1" x14ac:dyDescent="0.25"/>
    <row r="295" ht="12" customHeight="1" x14ac:dyDescent="0.25"/>
    <row r="296" ht="12" customHeight="1" x14ac:dyDescent="0.25"/>
    <row r="297" ht="12" customHeight="1" x14ac:dyDescent="0.25"/>
    <row r="298" ht="12" customHeight="1" x14ac:dyDescent="0.25"/>
    <row r="299" ht="12" customHeight="1" x14ac:dyDescent="0.25"/>
    <row r="300" ht="12" customHeight="1" x14ac:dyDescent="0.25"/>
    <row r="301" ht="12" customHeight="1" x14ac:dyDescent="0.25"/>
    <row r="302" ht="12" customHeight="1" x14ac:dyDescent="0.25"/>
    <row r="303" ht="12" customHeight="1" x14ac:dyDescent="0.25"/>
    <row r="304" ht="12" customHeight="1" x14ac:dyDescent="0.25"/>
    <row r="305" ht="12" customHeight="1" x14ac:dyDescent="0.25"/>
    <row r="306" ht="12" customHeight="1" x14ac:dyDescent="0.25"/>
    <row r="307" ht="12" customHeight="1" x14ac:dyDescent="0.25"/>
    <row r="308" ht="12" customHeight="1" x14ac:dyDescent="0.25"/>
    <row r="309" ht="12" customHeight="1" x14ac:dyDescent="0.25"/>
    <row r="310" ht="12" customHeight="1" x14ac:dyDescent="0.25"/>
    <row r="311" ht="12" customHeight="1" x14ac:dyDescent="0.25"/>
    <row r="312" ht="12" customHeight="1" x14ac:dyDescent="0.25"/>
    <row r="313" ht="12" customHeight="1" x14ac:dyDescent="0.25"/>
    <row r="314" ht="12" customHeight="1" x14ac:dyDescent="0.25"/>
    <row r="315" ht="12" customHeight="1" x14ac:dyDescent="0.25"/>
    <row r="316" ht="12" customHeight="1" x14ac:dyDescent="0.25"/>
    <row r="317" ht="12" customHeight="1" x14ac:dyDescent="0.25"/>
    <row r="318" ht="12" customHeight="1" x14ac:dyDescent="0.25"/>
    <row r="319" ht="12" customHeight="1" x14ac:dyDescent="0.25"/>
    <row r="320" ht="12" customHeight="1" x14ac:dyDescent="0.25"/>
    <row r="321" ht="12" customHeight="1" x14ac:dyDescent="0.25"/>
    <row r="322" ht="12" customHeight="1" x14ac:dyDescent="0.25"/>
    <row r="323" ht="12" customHeight="1" x14ac:dyDescent="0.25"/>
    <row r="324" ht="12" customHeight="1" x14ac:dyDescent="0.25"/>
    <row r="325" ht="12" customHeight="1" x14ac:dyDescent="0.25"/>
    <row r="326" ht="12" customHeight="1" x14ac:dyDescent="0.25"/>
    <row r="327" ht="12" customHeight="1" x14ac:dyDescent="0.25"/>
    <row r="328" ht="12" customHeight="1" x14ac:dyDescent="0.25"/>
    <row r="329" ht="12" customHeight="1" x14ac:dyDescent="0.25"/>
    <row r="330" ht="12" customHeight="1" x14ac:dyDescent="0.25"/>
    <row r="331" ht="12" customHeight="1" x14ac:dyDescent="0.25"/>
    <row r="332" ht="12" customHeight="1" x14ac:dyDescent="0.25"/>
    <row r="333" ht="12" customHeight="1" x14ac:dyDescent="0.25"/>
    <row r="334" ht="12" customHeight="1" x14ac:dyDescent="0.25"/>
    <row r="335" ht="12" customHeight="1" x14ac:dyDescent="0.25"/>
    <row r="336" ht="12" customHeight="1" x14ac:dyDescent="0.25"/>
    <row r="337" ht="12" customHeight="1" x14ac:dyDescent="0.25"/>
    <row r="338" ht="12" customHeight="1" x14ac:dyDescent="0.25"/>
    <row r="339" ht="12" customHeight="1" x14ac:dyDescent="0.25"/>
    <row r="340" ht="12" customHeight="1" x14ac:dyDescent="0.25"/>
    <row r="341" ht="12" customHeight="1" x14ac:dyDescent="0.25"/>
    <row r="342" ht="12" customHeight="1" x14ac:dyDescent="0.25"/>
    <row r="343" ht="12" customHeight="1" x14ac:dyDescent="0.25"/>
    <row r="344" ht="12" customHeight="1" x14ac:dyDescent="0.25"/>
    <row r="345" ht="12" customHeight="1" x14ac:dyDescent="0.25"/>
    <row r="346" ht="12" customHeight="1" x14ac:dyDescent="0.25"/>
    <row r="347" ht="12" customHeight="1" x14ac:dyDescent="0.25"/>
    <row r="348" ht="12" customHeight="1" x14ac:dyDescent="0.25"/>
    <row r="349" ht="12" customHeight="1" x14ac:dyDescent="0.25"/>
    <row r="350" ht="12" customHeight="1" x14ac:dyDescent="0.25"/>
    <row r="351" ht="12" customHeight="1" x14ac:dyDescent="0.25"/>
    <row r="352" ht="12" customHeight="1" x14ac:dyDescent="0.25"/>
    <row r="353" ht="12" customHeight="1" x14ac:dyDescent="0.25"/>
    <row r="354" ht="12" customHeight="1" x14ac:dyDescent="0.25"/>
    <row r="355" ht="12" customHeight="1" x14ac:dyDescent="0.25"/>
    <row r="356" ht="12" customHeight="1" x14ac:dyDescent="0.25"/>
    <row r="357" ht="12" customHeight="1" x14ac:dyDescent="0.25"/>
    <row r="358" ht="12" customHeight="1" x14ac:dyDescent="0.25"/>
    <row r="359" ht="12" customHeight="1" x14ac:dyDescent="0.25"/>
    <row r="360" ht="12" customHeight="1" x14ac:dyDescent="0.25"/>
    <row r="361" ht="12" customHeight="1" x14ac:dyDescent="0.25"/>
    <row r="362" ht="12" customHeight="1" x14ac:dyDescent="0.25"/>
    <row r="363" ht="12" customHeight="1" x14ac:dyDescent="0.25"/>
    <row r="364" ht="12" customHeight="1" x14ac:dyDescent="0.25"/>
    <row r="365" ht="12" customHeight="1" x14ac:dyDescent="0.25"/>
    <row r="366" ht="12" customHeight="1" x14ac:dyDescent="0.25"/>
    <row r="367" ht="12" customHeight="1" x14ac:dyDescent="0.25"/>
    <row r="368" ht="12" customHeight="1" x14ac:dyDescent="0.25"/>
    <row r="369" ht="12" customHeight="1" x14ac:dyDescent="0.25"/>
    <row r="370" ht="12" customHeight="1" x14ac:dyDescent="0.25"/>
    <row r="371" ht="12" customHeight="1" x14ac:dyDescent="0.25"/>
    <row r="372" ht="12" customHeight="1" x14ac:dyDescent="0.25"/>
    <row r="373" ht="12" customHeight="1" x14ac:dyDescent="0.25"/>
    <row r="374" ht="12" customHeight="1" x14ac:dyDescent="0.25"/>
    <row r="375" ht="12" customHeight="1" x14ac:dyDescent="0.25"/>
    <row r="376" ht="12" customHeight="1" x14ac:dyDescent="0.25"/>
    <row r="377" ht="12" customHeight="1" x14ac:dyDescent="0.25"/>
    <row r="378" ht="12" customHeight="1" x14ac:dyDescent="0.25"/>
    <row r="379" ht="12" customHeight="1" x14ac:dyDescent="0.25"/>
    <row r="380" ht="12" customHeight="1" x14ac:dyDescent="0.25"/>
    <row r="381" ht="12" customHeight="1" x14ac:dyDescent="0.25"/>
    <row r="382" ht="12" customHeight="1" x14ac:dyDescent="0.25"/>
    <row r="383" ht="12" customHeight="1" x14ac:dyDescent="0.25"/>
    <row r="384" ht="12" customHeight="1" x14ac:dyDescent="0.25"/>
    <row r="385" ht="12" customHeight="1" x14ac:dyDescent="0.25"/>
    <row r="386" ht="12" customHeight="1" x14ac:dyDescent="0.25"/>
    <row r="387" ht="12" customHeight="1" x14ac:dyDescent="0.25"/>
    <row r="388" ht="12" customHeight="1" x14ac:dyDescent="0.25"/>
    <row r="389" ht="12" customHeight="1" x14ac:dyDescent="0.25"/>
    <row r="390" ht="12" customHeight="1" x14ac:dyDescent="0.25"/>
    <row r="391" ht="12" customHeight="1" x14ac:dyDescent="0.25"/>
    <row r="392" ht="12" customHeight="1" x14ac:dyDescent="0.25"/>
    <row r="393" ht="12" customHeight="1" x14ac:dyDescent="0.25"/>
    <row r="394" ht="12" customHeight="1" x14ac:dyDescent="0.25"/>
    <row r="395" ht="12" customHeight="1" x14ac:dyDescent="0.25"/>
    <row r="396" ht="12" customHeight="1" x14ac:dyDescent="0.25"/>
    <row r="397" ht="12" customHeight="1" x14ac:dyDescent="0.25"/>
    <row r="398" ht="12" customHeight="1" x14ac:dyDescent="0.25"/>
    <row r="399" ht="12" customHeight="1" x14ac:dyDescent="0.25"/>
    <row r="400" ht="12" customHeight="1" x14ac:dyDescent="0.25"/>
    <row r="401" ht="12" customHeight="1" x14ac:dyDescent="0.25"/>
    <row r="402" ht="12" customHeight="1" x14ac:dyDescent="0.25"/>
    <row r="403" ht="12" customHeight="1" x14ac:dyDescent="0.25"/>
    <row r="404" ht="12" customHeight="1" x14ac:dyDescent="0.25"/>
    <row r="405" ht="12" customHeight="1" x14ac:dyDescent="0.25"/>
    <row r="406" ht="12" customHeight="1" x14ac:dyDescent="0.25"/>
    <row r="407" ht="12" customHeight="1" x14ac:dyDescent="0.25"/>
    <row r="408" ht="12" customHeight="1" x14ac:dyDescent="0.25"/>
    <row r="409" ht="12" customHeight="1" x14ac:dyDescent="0.25"/>
    <row r="410" ht="12" customHeight="1" x14ac:dyDescent="0.25"/>
    <row r="411" ht="12" customHeight="1" x14ac:dyDescent="0.25"/>
    <row r="412" ht="12" customHeight="1" x14ac:dyDescent="0.25"/>
    <row r="413" ht="12" customHeight="1" x14ac:dyDescent="0.25"/>
    <row r="414" ht="12" customHeight="1" x14ac:dyDescent="0.25"/>
    <row r="415" ht="12" customHeight="1" x14ac:dyDescent="0.25"/>
    <row r="416" ht="12" customHeight="1" x14ac:dyDescent="0.25"/>
    <row r="417" ht="12" customHeight="1" x14ac:dyDescent="0.25"/>
    <row r="418" ht="12" customHeight="1" x14ac:dyDescent="0.25"/>
    <row r="419" ht="12" customHeight="1" x14ac:dyDescent="0.25"/>
    <row r="420" ht="12" customHeight="1" x14ac:dyDescent="0.25"/>
    <row r="421" ht="12" customHeight="1" x14ac:dyDescent="0.25"/>
    <row r="422" ht="12" customHeight="1" x14ac:dyDescent="0.25"/>
    <row r="423" ht="12" customHeight="1" x14ac:dyDescent="0.25"/>
    <row r="424" ht="12" customHeight="1" x14ac:dyDescent="0.25"/>
    <row r="425" ht="12" customHeight="1" x14ac:dyDescent="0.25"/>
    <row r="426" ht="12" customHeight="1" x14ac:dyDescent="0.25"/>
    <row r="427" ht="12" customHeight="1" x14ac:dyDescent="0.25"/>
    <row r="428" ht="12" customHeight="1" x14ac:dyDescent="0.25"/>
    <row r="429" ht="12" customHeight="1" x14ac:dyDescent="0.25"/>
    <row r="430" ht="12" customHeight="1" x14ac:dyDescent="0.25"/>
    <row r="431" ht="12" customHeight="1" x14ac:dyDescent="0.25"/>
    <row r="432" ht="12" customHeight="1" x14ac:dyDescent="0.25"/>
    <row r="433" ht="12" customHeight="1" x14ac:dyDescent="0.25"/>
    <row r="434" ht="12" customHeight="1" x14ac:dyDescent="0.25"/>
    <row r="435" ht="12" customHeight="1" x14ac:dyDescent="0.25"/>
    <row r="436" ht="12" customHeight="1" x14ac:dyDescent="0.25"/>
    <row r="437" ht="12" customHeight="1" x14ac:dyDescent="0.25"/>
    <row r="438" ht="12" customHeight="1" x14ac:dyDescent="0.25"/>
    <row r="439" ht="12" customHeight="1" x14ac:dyDescent="0.25"/>
    <row r="440" ht="12" customHeight="1" x14ac:dyDescent="0.25"/>
    <row r="441" ht="12" customHeight="1" x14ac:dyDescent="0.25"/>
    <row r="442" ht="12" customHeight="1" x14ac:dyDescent="0.25"/>
    <row r="443" ht="12" customHeight="1" x14ac:dyDescent="0.25"/>
    <row r="444" ht="12" customHeight="1" x14ac:dyDescent="0.25"/>
    <row r="445" ht="12" customHeight="1" x14ac:dyDescent="0.25"/>
    <row r="446" ht="12" customHeight="1" x14ac:dyDescent="0.25"/>
    <row r="447" ht="12" customHeight="1" x14ac:dyDescent="0.25"/>
    <row r="448" ht="12" customHeight="1" x14ac:dyDescent="0.25"/>
    <row r="449" ht="12" customHeight="1" x14ac:dyDescent="0.25"/>
    <row r="450" ht="12" customHeight="1" x14ac:dyDescent="0.25"/>
    <row r="451" ht="12" customHeight="1" x14ac:dyDescent="0.25"/>
    <row r="452" ht="12" customHeight="1" x14ac:dyDescent="0.25"/>
    <row r="453" ht="12" customHeight="1" x14ac:dyDescent="0.25"/>
    <row r="454" ht="12" customHeight="1" x14ac:dyDescent="0.25"/>
    <row r="455" ht="12" customHeight="1" x14ac:dyDescent="0.25"/>
    <row r="456" ht="12" customHeight="1" x14ac:dyDescent="0.25"/>
    <row r="457" ht="12" customHeight="1" x14ac:dyDescent="0.25"/>
    <row r="458" ht="12" customHeight="1" x14ac:dyDescent="0.25"/>
    <row r="459" ht="12" customHeight="1" x14ac:dyDescent="0.25"/>
    <row r="460" ht="12" customHeight="1" x14ac:dyDescent="0.25"/>
    <row r="461" ht="12" customHeight="1" x14ac:dyDescent="0.25"/>
    <row r="462" ht="12" customHeight="1" x14ac:dyDescent="0.25"/>
    <row r="463" ht="12" customHeight="1" x14ac:dyDescent="0.25"/>
    <row r="464" ht="12" customHeight="1" x14ac:dyDescent="0.25"/>
    <row r="465" ht="12" customHeight="1" x14ac:dyDescent="0.25"/>
    <row r="466" ht="12" customHeight="1" x14ac:dyDescent="0.25"/>
    <row r="467" ht="12" customHeight="1" x14ac:dyDescent="0.25"/>
    <row r="468" ht="12" customHeight="1" x14ac:dyDescent="0.25"/>
    <row r="469" ht="12" customHeight="1" x14ac:dyDescent="0.25"/>
    <row r="470" ht="12" customHeight="1" x14ac:dyDescent="0.25"/>
    <row r="471" ht="12" customHeight="1" x14ac:dyDescent="0.25"/>
    <row r="472" ht="12" customHeight="1" x14ac:dyDescent="0.25"/>
    <row r="473" ht="12" customHeight="1" x14ac:dyDescent="0.25"/>
    <row r="474" ht="12" customHeight="1" x14ac:dyDescent="0.25"/>
    <row r="475" ht="12" customHeight="1" x14ac:dyDescent="0.25"/>
    <row r="476" ht="12" customHeight="1" x14ac:dyDescent="0.25"/>
    <row r="477" ht="12" customHeight="1" x14ac:dyDescent="0.25"/>
    <row r="478" ht="12" customHeight="1" x14ac:dyDescent="0.25"/>
    <row r="479" ht="12" customHeight="1" x14ac:dyDescent="0.25"/>
    <row r="480" ht="12" customHeight="1" x14ac:dyDescent="0.25"/>
    <row r="481" ht="12" customHeight="1" x14ac:dyDescent="0.25"/>
    <row r="482" ht="12" customHeight="1" x14ac:dyDescent="0.25"/>
    <row r="483" ht="12" customHeight="1" x14ac:dyDescent="0.25"/>
    <row r="484" ht="12" customHeight="1" x14ac:dyDescent="0.25"/>
    <row r="485" ht="12" customHeight="1" x14ac:dyDescent="0.25"/>
    <row r="486" ht="12" customHeight="1" x14ac:dyDescent="0.25"/>
    <row r="487" ht="12" customHeight="1" x14ac:dyDescent="0.25"/>
    <row r="488" ht="12" customHeight="1" x14ac:dyDescent="0.25"/>
    <row r="489" ht="12" customHeight="1" x14ac:dyDescent="0.25"/>
    <row r="490" ht="12" customHeight="1" x14ac:dyDescent="0.25"/>
    <row r="491" ht="12" customHeight="1" x14ac:dyDescent="0.25"/>
    <row r="492" ht="12" customHeight="1" x14ac:dyDescent="0.25"/>
    <row r="493" ht="12" customHeight="1" x14ac:dyDescent="0.25"/>
    <row r="494" ht="12" customHeight="1" x14ac:dyDescent="0.25"/>
    <row r="495" ht="12" customHeight="1" x14ac:dyDescent="0.25"/>
    <row r="496" ht="12" customHeight="1" x14ac:dyDescent="0.25"/>
    <row r="497" ht="12" customHeight="1" x14ac:dyDescent="0.25"/>
    <row r="498" ht="12" customHeight="1" x14ac:dyDescent="0.25"/>
    <row r="499" ht="12" customHeight="1" x14ac:dyDescent="0.25"/>
    <row r="500" ht="12" customHeight="1" x14ac:dyDescent="0.25"/>
    <row r="501" ht="12" customHeight="1" x14ac:dyDescent="0.25"/>
    <row r="502" ht="12" customHeight="1" x14ac:dyDescent="0.25"/>
    <row r="503" ht="12" customHeight="1" x14ac:dyDescent="0.25"/>
    <row r="504" ht="12" customHeight="1" x14ac:dyDescent="0.25"/>
    <row r="505" ht="12" customHeight="1" x14ac:dyDescent="0.25"/>
    <row r="506" ht="12" customHeight="1" x14ac:dyDescent="0.25"/>
    <row r="507" ht="12" customHeight="1" x14ac:dyDescent="0.25"/>
    <row r="508" ht="12" customHeight="1" x14ac:dyDescent="0.25"/>
    <row r="509" ht="12" customHeight="1" x14ac:dyDescent="0.25"/>
    <row r="510" ht="12" customHeight="1" x14ac:dyDescent="0.25"/>
    <row r="511" ht="12" customHeight="1" x14ac:dyDescent="0.25"/>
    <row r="512" ht="12" customHeight="1" x14ac:dyDescent="0.25"/>
    <row r="513" ht="12" customHeight="1" x14ac:dyDescent="0.25"/>
    <row r="514" ht="12" customHeight="1" x14ac:dyDescent="0.25"/>
    <row r="515" ht="12" customHeight="1" x14ac:dyDescent="0.25"/>
    <row r="516" ht="12" customHeight="1" x14ac:dyDescent="0.25"/>
    <row r="517" ht="12" customHeight="1" x14ac:dyDescent="0.25"/>
    <row r="518" ht="12" customHeight="1" x14ac:dyDescent="0.25"/>
    <row r="519" ht="12" customHeight="1" x14ac:dyDescent="0.25"/>
    <row r="520" ht="12" customHeight="1" x14ac:dyDescent="0.25"/>
    <row r="521" ht="12" customHeight="1" x14ac:dyDescent="0.25"/>
    <row r="522" ht="12" customHeight="1" x14ac:dyDescent="0.25"/>
    <row r="523" ht="12" customHeight="1" x14ac:dyDescent="0.25"/>
    <row r="524" ht="12" customHeight="1" x14ac:dyDescent="0.25"/>
    <row r="525" ht="12" customHeight="1" x14ac:dyDescent="0.25"/>
    <row r="526" ht="12" customHeight="1" x14ac:dyDescent="0.25"/>
    <row r="527" ht="12" customHeight="1" x14ac:dyDescent="0.25"/>
    <row r="528" ht="12" customHeight="1" x14ac:dyDescent="0.25"/>
    <row r="529" ht="12" customHeight="1" x14ac:dyDescent="0.25"/>
    <row r="530" ht="12" customHeight="1" x14ac:dyDescent="0.25"/>
    <row r="531" ht="12" customHeight="1" x14ac:dyDescent="0.25"/>
    <row r="532" ht="12" customHeight="1" x14ac:dyDescent="0.25"/>
    <row r="533" ht="12" customHeight="1" x14ac:dyDescent="0.25"/>
    <row r="534" ht="12" customHeight="1" x14ac:dyDescent="0.25"/>
    <row r="535" ht="12" customHeight="1" x14ac:dyDescent="0.25"/>
    <row r="536" ht="12" customHeight="1" x14ac:dyDescent="0.25"/>
    <row r="537" ht="12" customHeight="1" x14ac:dyDescent="0.25"/>
    <row r="538" ht="12" customHeight="1" x14ac:dyDescent="0.25"/>
    <row r="539" ht="12" customHeight="1" x14ac:dyDescent="0.25"/>
    <row r="540" ht="12" customHeight="1" x14ac:dyDescent="0.25"/>
    <row r="541" ht="12" customHeight="1" x14ac:dyDescent="0.25"/>
    <row r="542" ht="12" customHeight="1" x14ac:dyDescent="0.25"/>
    <row r="543" ht="12" customHeight="1" x14ac:dyDescent="0.25"/>
    <row r="544" ht="12" customHeight="1" x14ac:dyDescent="0.25"/>
    <row r="545" ht="12" customHeight="1" x14ac:dyDescent="0.25"/>
    <row r="546" ht="12" customHeight="1" x14ac:dyDescent="0.25"/>
    <row r="547" ht="12" customHeight="1" x14ac:dyDescent="0.25"/>
    <row r="548" ht="12" customHeight="1" x14ac:dyDescent="0.25"/>
    <row r="549" ht="12" customHeight="1" x14ac:dyDescent="0.25"/>
    <row r="550" ht="12" customHeight="1" x14ac:dyDescent="0.25"/>
    <row r="551" ht="12" customHeight="1" x14ac:dyDescent="0.25"/>
    <row r="552" ht="12" customHeight="1" x14ac:dyDescent="0.25"/>
    <row r="553" ht="12" customHeight="1" x14ac:dyDescent="0.25"/>
    <row r="554" ht="12" customHeight="1" x14ac:dyDescent="0.25"/>
    <row r="555" ht="12" customHeight="1" x14ac:dyDescent="0.25"/>
    <row r="556" ht="12" customHeight="1" x14ac:dyDescent="0.25"/>
    <row r="557" ht="12" customHeight="1" x14ac:dyDescent="0.25"/>
    <row r="558" ht="12" customHeight="1" x14ac:dyDescent="0.25"/>
    <row r="559" ht="12" customHeight="1" x14ac:dyDescent="0.25"/>
    <row r="560" ht="12" customHeight="1" x14ac:dyDescent="0.25"/>
    <row r="561" ht="12" customHeight="1" x14ac:dyDescent="0.25"/>
    <row r="562" ht="12" customHeight="1" x14ac:dyDescent="0.25"/>
    <row r="563" ht="12" customHeight="1" x14ac:dyDescent="0.25"/>
    <row r="564" ht="12" customHeight="1" x14ac:dyDescent="0.25"/>
    <row r="565" ht="12" customHeight="1" x14ac:dyDescent="0.25"/>
    <row r="566" ht="12" customHeight="1" x14ac:dyDescent="0.25"/>
    <row r="567" ht="12" customHeight="1" x14ac:dyDescent="0.25"/>
    <row r="568" ht="12" customHeight="1" x14ac:dyDescent="0.25"/>
    <row r="569" ht="12" customHeight="1" x14ac:dyDescent="0.25"/>
    <row r="570" ht="12" customHeight="1" x14ac:dyDescent="0.25"/>
    <row r="571" ht="12" customHeight="1" x14ac:dyDescent="0.25"/>
    <row r="572" ht="12" customHeight="1" x14ac:dyDescent="0.25"/>
    <row r="573" ht="12" customHeight="1" x14ac:dyDescent="0.25"/>
    <row r="574" ht="12" customHeight="1" x14ac:dyDescent="0.25"/>
    <row r="575" ht="12" customHeight="1" x14ac:dyDescent="0.25"/>
    <row r="576" ht="12" customHeight="1" x14ac:dyDescent="0.25"/>
    <row r="577" ht="12" customHeight="1" x14ac:dyDescent="0.25"/>
    <row r="578" ht="12" customHeight="1" x14ac:dyDescent="0.25"/>
    <row r="579" ht="12" customHeight="1" x14ac:dyDescent="0.25"/>
    <row r="580" ht="12" customHeight="1" x14ac:dyDescent="0.25"/>
    <row r="581" ht="12" customHeight="1" x14ac:dyDescent="0.25"/>
    <row r="582" ht="12" customHeight="1" x14ac:dyDescent="0.25"/>
    <row r="583" ht="12" customHeight="1" x14ac:dyDescent="0.25"/>
    <row r="584" ht="12" customHeight="1" x14ac:dyDescent="0.25"/>
    <row r="585" ht="12" customHeight="1" x14ac:dyDescent="0.25"/>
    <row r="586" ht="12" customHeight="1" x14ac:dyDescent="0.25"/>
    <row r="587" ht="12" customHeight="1" x14ac:dyDescent="0.25"/>
    <row r="588" ht="12" customHeight="1" x14ac:dyDescent="0.25"/>
    <row r="589" ht="12" customHeight="1" x14ac:dyDescent="0.25"/>
    <row r="590" ht="12" customHeight="1" x14ac:dyDescent="0.25"/>
    <row r="591" ht="12" customHeight="1" x14ac:dyDescent="0.25"/>
    <row r="592" ht="12" customHeight="1" x14ac:dyDescent="0.25"/>
    <row r="593" ht="12" customHeight="1" x14ac:dyDescent="0.25"/>
    <row r="594" ht="12" customHeight="1" x14ac:dyDescent="0.25"/>
    <row r="595" ht="12" customHeight="1" x14ac:dyDescent="0.25"/>
    <row r="596" ht="12" customHeight="1" x14ac:dyDescent="0.25"/>
    <row r="597" ht="12" customHeight="1" x14ac:dyDescent="0.25"/>
    <row r="598" ht="12" customHeight="1" x14ac:dyDescent="0.25"/>
    <row r="599" ht="12" customHeight="1" x14ac:dyDescent="0.25"/>
    <row r="600" ht="12" customHeight="1" x14ac:dyDescent="0.25"/>
    <row r="601" ht="12" customHeight="1" x14ac:dyDescent="0.25"/>
    <row r="602" ht="12" customHeight="1" x14ac:dyDescent="0.25"/>
    <row r="603" ht="12" customHeight="1" x14ac:dyDescent="0.25"/>
    <row r="604" ht="12" customHeight="1" x14ac:dyDescent="0.25"/>
    <row r="605" ht="12" customHeight="1" x14ac:dyDescent="0.25"/>
    <row r="606" ht="12" customHeight="1" x14ac:dyDescent="0.25"/>
    <row r="607" ht="12" customHeight="1" x14ac:dyDescent="0.25"/>
    <row r="608" ht="12" customHeight="1" x14ac:dyDescent="0.25"/>
    <row r="609" ht="12" customHeight="1" x14ac:dyDescent="0.25"/>
    <row r="610" ht="12" customHeight="1" x14ac:dyDescent="0.25"/>
    <row r="611" ht="12" customHeight="1" x14ac:dyDescent="0.25"/>
    <row r="612" ht="12" customHeight="1" x14ac:dyDescent="0.25"/>
    <row r="613" ht="12" customHeight="1" x14ac:dyDescent="0.25"/>
    <row r="614" ht="12" customHeight="1" x14ac:dyDescent="0.25"/>
    <row r="615" ht="12" customHeight="1" x14ac:dyDescent="0.25"/>
    <row r="616" ht="12" customHeight="1" x14ac:dyDescent="0.25"/>
    <row r="617" ht="12" customHeight="1" x14ac:dyDescent="0.25"/>
    <row r="618" ht="12" customHeight="1" x14ac:dyDescent="0.25"/>
    <row r="619" ht="12" customHeight="1" x14ac:dyDescent="0.25"/>
    <row r="620" ht="12" customHeight="1" x14ac:dyDescent="0.25"/>
    <row r="621" ht="12" customHeight="1" x14ac:dyDescent="0.25"/>
    <row r="622" ht="12" customHeight="1" x14ac:dyDescent="0.25"/>
    <row r="623" ht="12" customHeight="1" x14ac:dyDescent="0.25"/>
    <row r="624" ht="12" customHeight="1" x14ac:dyDescent="0.25"/>
    <row r="625" ht="12" customHeight="1" x14ac:dyDescent="0.25"/>
    <row r="626" ht="12" customHeight="1" x14ac:dyDescent="0.25"/>
    <row r="627" ht="12" customHeight="1" x14ac:dyDescent="0.25"/>
    <row r="628" ht="12" customHeight="1" x14ac:dyDescent="0.25"/>
    <row r="629" ht="12" customHeight="1" x14ac:dyDescent="0.25"/>
    <row r="630" ht="12" customHeight="1" x14ac:dyDescent="0.25"/>
    <row r="631" ht="12" customHeight="1" x14ac:dyDescent="0.25"/>
    <row r="632" ht="12" customHeight="1" x14ac:dyDescent="0.25"/>
    <row r="633" ht="12" customHeight="1" x14ac:dyDescent="0.25"/>
    <row r="634" ht="12" customHeight="1" x14ac:dyDescent="0.25"/>
    <row r="635" ht="12" customHeight="1" x14ac:dyDescent="0.25"/>
    <row r="636" ht="12" customHeight="1" x14ac:dyDescent="0.25"/>
    <row r="637" ht="12" customHeight="1" x14ac:dyDescent="0.25"/>
    <row r="638" ht="12" customHeight="1" x14ac:dyDescent="0.25"/>
    <row r="639" ht="12" customHeight="1" x14ac:dyDescent="0.25"/>
    <row r="640" ht="12" customHeight="1" x14ac:dyDescent="0.25"/>
    <row r="641" ht="12" customHeight="1" x14ac:dyDescent="0.25"/>
    <row r="642" ht="12" customHeight="1" x14ac:dyDescent="0.25"/>
    <row r="643" ht="12" customHeight="1" x14ac:dyDescent="0.25"/>
    <row r="644" ht="12" customHeight="1" x14ac:dyDescent="0.25"/>
    <row r="645" ht="12" customHeight="1" x14ac:dyDescent="0.25"/>
    <row r="646" ht="12" customHeight="1" x14ac:dyDescent="0.25"/>
    <row r="647" ht="12" customHeight="1" x14ac:dyDescent="0.25"/>
    <row r="648" ht="12" customHeight="1" x14ac:dyDescent="0.25"/>
    <row r="649" ht="12" customHeight="1" x14ac:dyDescent="0.25"/>
    <row r="650" ht="12" customHeight="1" x14ac:dyDescent="0.25"/>
    <row r="651" ht="12" customHeight="1" x14ac:dyDescent="0.25"/>
    <row r="652" ht="12" customHeight="1" x14ac:dyDescent="0.25"/>
    <row r="653" ht="12" customHeight="1" x14ac:dyDescent="0.25"/>
    <row r="654" ht="12" customHeight="1" x14ac:dyDescent="0.25"/>
    <row r="655" ht="12" customHeight="1" x14ac:dyDescent="0.25"/>
    <row r="656" ht="12" customHeight="1" x14ac:dyDescent="0.25"/>
    <row r="657" ht="12" customHeight="1" x14ac:dyDescent="0.25"/>
    <row r="658" ht="12" customHeight="1" x14ac:dyDescent="0.25"/>
    <row r="659" ht="12" customHeight="1" x14ac:dyDescent="0.25"/>
    <row r="660" ht="12" customHeight="1" x14ac:dyDescent="0.25"/>
    <row r="661" ht="12" customHeight="1" x14ac:dyDescent="0.25"/>
    <row r="662" ht="12" customHeight="1" x14ac:dyDescent="0.25"/>
    <row r="663" ht="12" customHeight="1" x14ac:dyDescent="0.25"/>
    <row r="664" ht="12" customHeight="1" x14ac:dyDescent="0.25"/>
    <row r="665" ht="12" customHeight="1" x14ac:dyDescent="0.25"/>
    <row r="666" ht="12" customHeight="1" x14ac:dyDescent="0.25"/>
    <row r="667" ht="12" customHeight="1" x14ac:dyDescent="0.25"/>
    <row r="668" ht="12" customHeight="1" x14ac:dyDescent="0.25"/>
    <row r="669" ht="12" customHeight="1" x14ac:dyDescent="0.25"/>
    <row r="670" ht="12" customHeight="1" x14ac:dyDescent="0.25"/>
    <row r="671" ht="12" customHeight="1" x14ac:dyDescent="0.25"/>
    <row r="672" ht="12" customHeight="1" x14ac:dyDescent="0.25"/>
    <row r="673" ht="12" customHeight="1" x14ac:dyDescent="0.25"/>
    <row r="674" ht="12" customHeight="1" x14ac:dyDescent="0.25"/>
    <row r="675" ht="12" customHeight="1" x14ac:dyDescent="0.25"/>
    <row r="676" ht="12" customHeight="1" x14ac:dyDescent="0.25"/>
    <row r="677" ht="12" customHeight="1" x14ac:dyDescent="0.25"/>
    <row r="678" ht="12" customHeight="1" x14ac:dyDescent="0.25"/>
    <row r="679" ht="12" customHeight="1" x14ac:dyDescent="0.25"/>
    <row r="680" ht="12" customHeight="1" x14ac:dyDescent="0.25"/>
    <row r="681" ht="12" customHeight="1" x14ac:dyDescent="0.25"/>
    <row r="682" ht="12" customHeight="1" x14ac:dyDescent="0.25"/>
    <row r="683" ht="12" customHeight="1" x14ac:dyDescent="0.25"/>
    <row r="684" ht="12" customHeight="1" x14ac:dyDescent="0.25"/>
    <row r="685" ht="12" customHeight="1" x14ac:dyDescent="0.25"/>
    <row r="686" ht="12" customHeight="1" x14ac:dyDescent="0.25"/>
    <row r="687" ht="12" customHeight="1" x14ac:dyDescent="0.25"/>
    <row r="688" ht="12" customHeight="1" x14ac:dyDescent="0.25"/>
    <row r="689" ht="12" customHeight="1" x14ac:dyDescent="0.25"/>
    <row r="690" ht="12" customHeight="1" x14ac:dyDescent="0.25"/>
    <row r="691" ht="12" customHeight="1" x14ac:dyDescent="0.25"/>
    <row r="692" ht="12" customHeight="1" x14ac:dyDescent="0.25"/>
    <row r="693" ht="12" customHeight="1" x14ac:dyDescent="0.25"/>
    <row r="694" ht="12" customHeight="1" x14ac:dyDescent="0.25"/>
    <row r="695" ht="12" customHeight="1" x14ac:dyDescent="0.25"/>
    <row r="696" ht="12" customHeight="1" x14ac:dyDescent="0.25"/>
    <row r="697" ht="12" customHeight="1" x14ac:dyDescent="0.25"/>
    <row r="698" ht="12" customHeight="1" x14ac:dyDescent="0.25"/>
    <row r="699" ht="12" customHeight="1" x14ac:dyDescent="0.25"/>
    <row r="700" ht="12" customHeight="1" x14ac:dyDescent="0.25"/>
    <row r="701" ht="12" customHeight="1" x14ac:dyDescent="0.25"/>
    <row r="702" ht="12" customHeight="1" x14ac:dyDescent="0.25"/>
    <row r="703" ht="12" customHeight="1" x14ac:dyDescent="0.25"/>
    <row r="704" ht="12" customHeight="1" x14ac:dyDescent="0.25"/>
    <row r="705" ht="12" customHeight="1" x14ac:dyDescent="0.25"/>
    <row r="706" ht="12" customHeight="1" x14ac:dyDescent="0.25"/>
    <row r="707" ht="12" customHeight="1" x14ac:dyDescent="0.25"/>
    <row r="708" ht="12" customHeight="1" x14ac:dyDescent="0.25"/>
    <row r="709" ht="12" customHeight="1" x14ac:dyDescent="0.25"/>
    <row r="710" ht="12" customHeight="1" x14ac:dyDescent="0.25"/>
    <row r="711" ht="12" customHeight="1" x14ac:dyDescent="0.25"/>
    <row r="712" ht="12" customHeight="1" x14ac:dyDescent="0.25"/>
    <row r="713" ht="12" customHeight="1" x14ac:dyDescent="0.25"/>
    <row r="714" ht="12" customHeight="1" x14ac:dyDescent="0.25"/>
    <row r="715" ht="12" customHeight="1" x14ac:dyDescent="0.25"/>
    <row r="716" ht="12" customHeight="1" x14ac:dyDescent="0.25"/>
    <row r="717" ht="12" customHeight="1" x14ac:dyDescent="0.25"/>
    <row r="718" ht="12" customHeight="1" x14ac:dyDescent="0.25"/>
    <row r="719" ht="12" customHeight="1" x14ac:dyDescent="0.25"/>
    <row r="720" ht="12" customHeight="1" x14ac:dyDescent="0.25"/>
    <row r="721" ht="12" customHeight="1" x14ac:dyDescent="0.25"/>
    <row r="722" ht="12" customHeight="1" x14ac:dyDescent="0.25"/>
    <row r="723" ht="12" customHeight="1" x14ac:dyDescent="0.25"/>
    <row r="724" ht="12" customHeight="1" x14ac:dyDescent="0.25"/>
    <row r="725" ht="12" customHeight="1" x14ac:dyDescent="0.25"/>
    <row r="726" ht="12" customHeight="1" x14ac:dyDescent="0.25"/>
    <row r="727" ht="12" customHeight="1" x14ac:dyDescent="0.25"/>
    <row r="728" ht="12" customHeight="1" x14ac:dyDescent="0.25"/>
    <row r="729" ht="12" customHeight="1" x14ac:dyDescent="0.25"/>
    <row r="730" ht="12" customHeight="1" x14ac:dyDescent="0.25"/>
    <row r="731" ht="12" customHeight="1" x14ac:dyDescent="0.25"/>
    <row r="732" ht="12" customHeight="1" x14ac:dyDescent="0.25"/>
    <row r="733" ht="12" customHeight="1" x14ac:dyDescent="0.25"/>
    <row r="734" ht="12" customHeight="1" x14ac:dyDescent="0.25"/>
    <row r="735" ht="12" customHeight="1" x14ac:dyDescent="0.25"/>
    <row r="736" ht="12" customHeight="1" x14ac:dyDescent="0.25"/>
    <row r="737" ht="12" customHeight="1" x14ac:dyDescent="0.25"/>
    <row r="738" ht="12" customHeight="1" x14ac:dyDescent="0.25"/>
    <row r="739" ht="12" customHeight="1" x14ac:dyDescent="0.25"/>
    <row r="740" ht="12" customHeight="1" x14ac:dyDescent="0.25"/>
    <row r="741" ht="12" customHeight="1" x14ac:dyDescent="0.25"/>
    <row r="742" ht="12" customHeight="1" x14ac:dyDescent="0.25"/>
    <row r="743" ht="12" customHeight="1" x14ac:dyDescent="0.25"/>
    <row r="744" ht="12" customHeight="1" x14ac:dyDescent="0.25"/>
    <row r="745" ht="12" customHeight="1" x14ac:dyDescent="0.25"/>
    <row r="746" ht="12" customHeight="1" x14ac:dyDescent="0.25"/>
    <row r="747" ht="12" customHeight="1" x14ac:dyDescent="0.25"/>
    <row r="748" ht="12" customHeight="1" x14ac:dyDescent="0.25"/>
    <row r="749" ht="12" customHeight="1" x14ac:dyDescent="0.25"/>
    <row r="750" ht="12" customHeight="1" x14ac:dyDescent="0.25"/>
    <row r="751" ht="12" customHeight="1" x14ac:dyDescent="0.25"/>
    <row r="752" ht="12" customHeight="1" x14ac:dyDescent="0.25"/>
    <row r="753" ht="12" customHeight="1" x14ac:dyDescent="0.25"/>
    <row r="754" ht="12" customHeight="1" x14ac:dyDescent="0.25"/>
    <row r="755" ht="12" customHeight="1" x14ac:dyDescent="0.25"/>
    <row r="756" ht="12" customHeight="1" x14ac:dyDescent="0.25"/>
    <row r="757" ht="12" customHeight="1" x14ac:dyDescent="0.25"/>
    <row r="758" ht="12" customHeight="1" x14ac:dyDescent="0.25"/>
    <row r="759" ht="12" customHeight="1" x14ac:dyDescent="0.25"/>
    <row r="760" ht="12" customHeight="1" x14ac:dyDescent="0.25"/>
    <row r="761" ht="12" customHeight="1" x14ac:dyDescent="0.25"/>
    <row r="762" ht="12" customHeight="1" x14ac:dyDescent="0.25"/>
    <row r="763" ht="12" customHeight="1" x14ac:dyDescent="0.25"/>
    <row r="764" ht="12" customHeight="1" x14ac:dyDescent="0.25"/>
    <row r="765" ht="12" customHeight="1" x14ac:dyDescent="0.25"/>
    <row r="766" ht="12" customHeight="1" x14ac:dyDescent="0.25"/>
    <row r="767" ht="12" customHeight="1" x14ac:dyDescent="0.25"/>
    <row r="768" ht="12" customHeight="1" x14ac:dyDescent="0.25"/>
    <row r="769" ht="12" customHeight="1" x14ac:dyDescent="0.25"/>
    <row r="770" ht="12" customHeight="1" x14ac:dyDescent="0.25"/>
    <row r="771" ht="12" customHeight="1" x14ac:dyDescent="0.25"/>
    <row r="772" ht="12" customHeight="1" x14ac:dyDescent="0.25"/>
    <row r="773" ht="12" customHeight="1" x14ac:dyDescent="0.25"/>
    <row r="774" ht="12" customHeight="1" x14ac:dyDescent="0.25"/>
    <row r="775" ht="12" customHeight="1" x14ac:dyDescent="0.25"/>
    <row r="776" ht="12" customHeight="1" x14ac:dyDescent="0.25"/>
    <row r="777" ht="12" customHeight="1" x14ac:dyDescent="0.25"/>
    <row r="778" ht="12" customHeight="1" x14ac:dyDescent="0.25"/>
    <row r="779" ht="12" customHeight="1" x14ac:dyDescent="0.25"/>
    <row r="780" ht="12" customHeight="1" x14ac:dyDescent="0.25"/>
    <row r="781" ht="12" customHeight="1" x14ac:dyDescent="0.25"/>
    <row r="782" ht="12" customHeight="1" x14ac:dyDescent="0.25"/>
    <row r="783" ht="12" customHeight="1" x14ac:dyDescent="0.25"/>
    <row r="784" ht="12" customHeight="1" x14ac:dyDescent="0.25"/>
    <row r="785" ht="12" customHeight="1" x14ac:dyDescent="0.25"/>
    <row r="786" ht="12" customHeight="1" x14ac:dyDescent="0.25"/>
    <row r="787" ht="12" customHeight="1" x14ac:dyDescent="0.25"/>
    <row r="788" ht="12" customHeight="1" x14ac:dyDescent="0.25"/>
    <row r="789" ht="12" customHeight="1" x14ac:dyDescent="0.25"/>
    <row r="790" ht="12" customHeight="1" x14ac:dyDescent="0.25"/>
    <row r="791" ht="12" customHeight="1" x14ac:dyDescent="0.25"/>
    <row r="792" ht="12" customHeight="1" x14ac:dyDescent="0.25"/>
    <row r="793" ht="12" customHeight="1" x14ac:dyDescent="0.25"/>
    <row r="794" ht="12" customHeight="1" x14ac:dyDescent="0.25"/>
    <row r="795" ht="12" customHeight="1" x14ac:dyDescent="0.25"/>
    <row r="796" ht="12" customHeight="1" x14ac:dyDescent="0.25"/>
    <row r="797" ht="12" customHeight="1" x14ac:dyDescent="0.25"/>
    <row r="798" ht="12" customHeight="1" x14ac:dyDescent="0.25"/>
    <row r="799" ht="12" customHeight="1" x14ac:dyDescent="0.25"/>
    <row r="800" ht="12" customHeight="1" x14ac:dyDescent="0.25"/>
    <row r="801" ht="12" customHeight="1" x14ac:dyDescent="0.25"/>
    <row r="802" ht="12" customHeight="1" x14ac:dyDescent="0.25"/>
    <row r="803" ht="12" customHeight="1" x14ac:dyDescent="0.25"/>
    <row r="804" ht="12" customHeight="1" x14ac:dyDescent="0.25"/>
    <row r="805" ht="12" customHeight="1" x14ac:dyDescent="0.25"/>
    <row r="806" ht="12" customHeight="1" x14ac:dyDescent="0.25"/>
    <row r="807" ht="12" customHeight="1" x14ac:dyDescent="0.25"/>
    <row r="808" ht="12" customHeight="1" x14ac:dyDescent="0.25"/>
    <row r="809" ht="12" customHeight="1" x14ac:dyDescent="0.25"/>
    <row r="810" ht="12" customHeight="1" x14ac:dyDescent="0.25"/>
    <row r="811" ht="12" customHeight="1" x14ac:dyDescent="0.25"/>
    <row r="812" ht="12" customHeight="1" x14ac:dyDescent="0.25"/>
    <row r="813" ht="12" customHeight="1" x14ac:dyDescent="0.25"/>
    <row r="814" ht="12" customHeight="1" x14ac:dyDescent="0.25"/>
    <row r="815" ht="12" customHeight="1" x14ac:dyDescent="0.25"/>
    <row r="816" ht="12" customHeight="1" x14ac:dyDescent="0.25"/>
    <row r="817" ht="12" customHeight="1" x14ac:dyDescent="0.25"/>
    <row r="818" ht="12" customHeight="1" x14ac:dyDescent="0.25"/>
    <row r="819" ht="12" customHeight="1" x14ac:dyDescent="0.25"/>
    <row r="820" ht="12" customHeight="1" x14ac:dyDescent="0.25"/>
    <row r="821" ht="12" customHeight="1" x14ac:dyDescent="0.25"/>
    <row r="822" ht="12" customHeight="1" x14ac:dyDescent="0.25"/>
    <row r="823" ht="12" customHeight="1" x14ac:dyDescent="0.25"/>
    <row r="824" ht="12" customHeight="1" x14ac:dyDescent="0.25"/>
    <row r="825" ht="12" customHeight="1" x14ac:dyDescent="0.25"/>
    <row r="826" ht="12" customHeight="1" x14ac:dyDescent="0.25"/>
    <row r="827" ht="12" customHeight="1" x14ac:dyDescent="0.25"/>
    <row r="828" ht="12" customHeight="1" x14ac:dyDescent="0.25"/>
    <row r="829" ht="12" customHeight="1" x14ac:dyDescent="0.25"/>
    <row r="830" ht="12" customHeight="1" x14ac:dyDescent="0.25"/>
    <row r="831" ht="12" customHeight="1" x14ac:dyDescent="0.25"/>
    <row r="832" ht="12" customHeight="1" x14ac:dyDescent="0.25"/>
    <row r="833" ht="12" customHeight="1" x14ac:dyDescent="0.25"/>
    <row r="834" ht="12" customHeight="1" x14ac:dyDescent="0.25"/>
    <row r="835" ht="12" customHeight="1" x14ac:dyDescent="0.25"/>
    <row r="836" ht="12" customHeight="1" x14ac:dyDescent="0.25"/>
    <row r="837" ht="12" customHeight="1" x14ac:dyDescent="0.25"/>
    <row r="838" ht="12" customHeight="1" x14ac:dyDescent="0.25"/>
    <row r="839" ht="12" customHeight="1" x14ac:dyDescent="0.25"/>
    <row r="840" ht="12" customHeight="1" x14ac:dyDescent="0.25"/>
    <row r="841" ht="12" customHeight="1" x14ac:dyDescent="0.25"/>
    <row r="842" ht="12" customHeight="1" x14ac:dyDescent="0.25"/>
    <row r="843" ht="12" customHeight="1" x14ac:dyDescent="0.25"/>
    <row r="844" ht="12" customHeight="1" x14ac:dyDescent="0.25"/>
    <row r="845" ht="12" customHeight="1" x14ac:dyDescent="0.25"/>
    <row r="846" ht="12" customHeight="1" x14ac:dyDescent="0.25"/>
    <row r="847" ht="12" customHeight="1" x14ac:dyDescent="0.25"/>
    <row r="848" ht="12" customHeight="1" x14ac:dyDescent="0.25"/>
    <row r="849" ht="12" customHeight="1" x14ac:dyDescent="0.25"/>
    <row r="850" ht="12" customHeight="1" x14ac:dyDescent="0.25"/>
    <row r="851" ht="12" customHeight="1" x14ac:dyDescent="0.25"/>
    <row r="852" ht="12" customHeight="1" x14ac:dyDescent="0.25"/>
    <row r="853" ht="12" customHeight="1" x14ac:dyDescent="0.25"/>
    <row r="854" ht="12" customHeight="1" x14ac:dyDescent="0.25"/>
    <row r="855" ht="12" customHeight="1" x14ac:dyDescent="0.25"/>
    <row r="856" ht="12" customHeight="1" x14ac:dyDescent="0.25"/>
    <row r="857" ht="12" customHeight="1" x14ac:dyDescent="0.25"/>
    <row r="858" ht="12" customHeight="1" x14ac:dyDescent="0.25"/>
    <row r="859" ht="12" customHeight="1" x14ac:dyDescent="0.25"/>
    <row r="860" ht="12" customHeight="1" x14ac:dyDescent="0.25"/>
    <row r="861" ht="12" customHeight="1" x14ac:dyDescent="0.25"/>
    <row r="862" ht="12" customHeight="1" x14ac:dyDescent="0.25"/>
    <row r="863" ht="12" customHeight="1" x14ac:dyDescent="0.25"/>
    <row r="864" ht="12" customHeight="1" x14ac:dyDescent="0.25"/>
    <row r="865" ht="12" customHeight="1" x14ac:dyDescent="0.25"/>
    <row r="866" ht="12" customHeight="1" x14ac:dyDescent="0.25"/>
    <row r="867" ht="12" customHeight="1" x14ac:dyDescent="0.25"/>
    <row r="868" ht="12" customHeight="1" x14ac:dyDescent="0.25"/>
    <row r="869" ht="12" customHeight="1" x14ac:dyDescent="0.25"/>
    <row r="870" ht="12" customHeight="1" x14ac:dyDescent="0.25"/>
    <row r="871" ht="12" customHeight="1" x14ac:dyDescent="0.25"/>
    <row r="872" ht="12" customHeight="1" x14ac:dyDescent="0.25"/>
    <row r="873" ht="12" customHeight="1" x14ac:dyDescent="0.25"/>
    <row r="874" ht="12" customHeight="1" x14ac:dyDescent="0.25"/>
    <row r="875" ht="12" customHeight="1" x14ac:dyDescent="0.25"/>
    <row r="876" ht="12" customHeight="1" x14ac:dyDescent="0.25"/>
    <row r="877" ht="12" customHeight="1" x14ac:dyDescent="0.25"/>
    <row r="878" ht="12" customHeight="1" x14ac:dyDescent="0.25"/>
    <row r="879" ht="12" customHeight="1" x14ac:dyDescent="0.25"/>
    <row r="880" ht="12" customHeight="1" x14ac:dyDescent="0.25"/>
    <row r="881" ht="12" customHeight="1" x14ac:dyDescent="0.25"/>
    <row r="882" ht="12" customHeight="1" x14ac:dyDescent="0.25"/>
    <row r="883" ht="12" customHeight="1" x14ac:dyDescent="0.25"/>
    <row r="884" ht="12" customHeight="1" x14ac:dyDescent="0.25"/>
    <row r="885" ht="12" customHeight="1" x14ac:dyDescent="0.25"/>
    <row r="886" ht="12" customHeight="1" x14ac:dyDescent="0.25"/>
    <row r="887" ht="12" customHeight="1" x14ac:dyDescent="0.25"/>
    <row r="888" ht="12" customHeight="1" x14ac:dyDescent="0.25"/>
    <row r="889" ht="12" customHeight="1" x14ac:dyDescent="0.25"/>
    <row r="890" ht="12" customHeight="1" x14ac:dyDescent="0.25"/>
    <row r="891" ht="12" customHeight="1" x14ac:dyDescent="0.25"/>
    <row r="892" ht="12" customHeight="1" x14ac:dyDescent="0.25"/>
    <row r="893" ht="12" customHeight="1" x14ac:dyDescent="0.25"/>
    <row r="894" ht="12" customHeight="1" x14ac:dyDescent="0.25"/>
    <row r="895" ht="12" customHeight="1" x14ac:dyDescent="0.25"/>
    <row r="896" ht="12" customHeight="1" x14ac:dyDescent="0.25"/>
    <row r="897" ht="12" customHeight="1" x14ac:dyDescent="0.25"/>
    <row r="898" ht="12" customHeight="1" x14ac:dyDescent="0.25"/>
    <row r="899" ht="12" customHeight="1" x14ac:dyDescent="0.25"/>
    <row r="900" ht="12" customHeight="1" x14ac:dyDescent="0.25"/>
    <row r="901" ht="12" customHeight="1" x14ac:dyDescent="0.25"/>
    <row r="902" ht="12" customHeight="1" x14ac:dyDescent="0.25"/>
    <row r="903" ht="12" customHeight="1" x14ac:dyDescent="0.25"/>
    <row r="904" ht="12" customHeight="1" x14ac:dyDescent="0.25"/>
    <row r="905" ht="12" customHeight="1" x14ac:dyDescent="0.25"/>
    <row r="906" ht="12" customHeight="1" x14ac:dyDescent="0.25"/>
    <row r="907" ht="12" customHeight="1" x14ac:dyDescent="0.25"/>
    <row r="908" ht="12" customHeight="1" x14ac:dyDescent="0.25"/>
    <row r="909" ht="12" customHeight="1" x14ac:dyDescent="0.25"/>
    <row r="910" ht="12" customHeight="1" x14ac:dyDescent="0.25"/>
    <row r="911" ht="12" customHeight="1" x14ac:dyDescent="0.25"/>
    <row r="912" ht="12" customHeight="1" x14ac:dyDescent="0.25"/>
    <row r="913" ht="12" customHeight="1" x14ac:dyDescent="0.25"/>
    <row r="914" ht="12" customHeight="1" x14ac:dyDescent="0.25"/>
    <row r="915" ht="12" customHeight="1" x14ac:dyDescent="0.25"/>
    <row r="916" ht="12" customHeight="1" x14ac:dyDescent="0.25"/>
    <row r="917" ht="12" customHeight="1" x14ac:dyDescent="0.25"/>
    <row r="918" ht="12" customHeight="1" x14ac:dyDescent="0.25"/>
    <row r="919" ht="12" customHeight="1" x14ac:dyDescent="0.25"/>
    <row r="920" ht="12" customHeight="1" x14ac:dyDescent="0.25"/>
    <row r="921" ht="12" customHeight="1" x14ac:dyDescent="0.25"/>
    <row r="922" ht="12" customHeight="1" x14ac:dyDescent="0.25"/>
    <row r="923" ht="12" customHeight="1" x14ac:dyDescent="0.25"/>
    <row r="924" ht="12" customHeight="1" x14ac:dyDescent="0.25"/>
    <row r="925" ht="12" customHeight="1" x14ac:dyDescent="0.25"/>
    <row r="926" ht="12" customHeight="1" x14ac:dyDescent="0.25"/>
    <row r="927" ht="12" customHeight="1" x14ac:dyDescent="0.25"/>
    <row r="928" ht="12" customHeight="1" x14ac:dyDescent="0.25"/>
    <row r="929" ht="12" customHeight="1" x14ac:dyDescent="0.25"/>
    <row r="930" ht="12" customHeight="1" x14ac:dyDescent="0.25"/>
    <row r="931" ht="12" customHeight="1" x14ac:dyDescent="0.25"/>
    <row r="932" ht="12" customHeight="1" x14ac:dyDescent="0.25"/>
    <row r="933" ht="12" customHeight="1" x14ac:dyDescent="0.25"/>
    <row r="934" ht="12" customHeight="1" x14ac:dyDescent="0.25"/>
    <row r="935" ht="12" customHeight="1" x14ac:dyDescent="0.25"/>
    <row r="936" ht="12" customHeight="1" x14ac:dyDescent="0.25"/>
    <row r="937" ht="12" customHeight="1" x14ac:dyDescent="0.25"/>
    <row r="938" ht="12" customHeight="1" x14ac:dyDescent="0.25"/>
    <row r="939" ht="12" customHeight="1" x14ac:dyDescent="0.25"/>
    <row r="940" ht="12" customHeight="1" x14ac:dyDescent="0.25"/>
    <row r="941" ht="12" customHeight="1" x14ac:dyDescent="0.25"/>
    <row r="942" ht="12" customHeight="1" x14ac:dyDescent="0.25"/>
    <row r="943" ht="12" customHeight="1" x14ac:dyDescent="0.25"/>
    <row r="944" ht="12" customHeight="1" x14ac:dyDescent="0.25"/>
    <row r="945" ht="12" customHeight="1" x14ac:dyDescent="0.25"/>
    <row r="946" ht="12" customHeight="1" x14ac:dyDescent="0.25"/>
    <row r="947" ht="12" customHeight="1" x14ac:dyDescent="0.25"/>
    <row r="948" ht="12" customHeight="1" x14ac:dyDescent="0.25"/>
    <row r="949" ht="12" customHeight="1" x14ac:dyDescent="0.25"/>
    <row r="950" ht="12" customHeight="1" x14ac:dyDescent="0.25"/>
    <row r="951" ht="12" customHeight="1" x14ac:dyDescent="0.25"/>
    <row r="952" ht="12" customHeight="1" x14ac:dyDescent="0.25"/>
    <row r="953" ht="12" customHeight="1" x14ac:dyDescent="0.25"/>
    <row r="954" ht="12" customHeight="1" x14ac:dyDescent="0.25"/>
    <row r="955" ht="12" customHeight="1" x14ac:dyDescent="0.25"/>
    <row r="956" ht="12" customHeight="1" x14ac:dyDescent="0.25"/>
    <row r="957" ht="12" customHeight="1" x14ac:dyDescent="0.25"/>
    <row r="958" ht="12" customHeight="1" x14ac:dyDescent="0.25"/>
    <row r="959" ht="12" customHeight="1" x14ac:dyDescent="0.25"/>
    <row r="960" ht="12" customHeight="1" x14ac:dyDescent="0.25"/>
    <row r="961" ht="12" customHeight="1" x14ac:dyDescent="0.25"/>
    <row r="962" ht="12" customHeight="1" x14ac:dyDescent="0.25"/>
    <row r="963" ht="12" customHeight="1" x14ac:dyDescent="0.25"/>
    <row r="964" ht="12" customHeight="1" x14ac:dyDescent="0.25"/>
    <row r="965" ht="12" customHeight="1" x14ac:dyDescent="0.25"/>
    <row r="966" ht="12" customHeight="1" x14ac:dyDescent="0.25"/>
    <row r="967" ht="12" customHeight="1" x14ac:dyDescent="0.25"/>
    <row r="968" ht="12" customHeight="1" x14ac:dyDescent="0.25"/>
    <row r="969" ht="12" customHeight="1" x14ac:dyDescent="0.25"/>
    <row r="970" ht="12" customHeight="1" x14ac:dyDescent="0.25"/>
    <row r="971" ht="12" customHeight="1" x14ac:dyDescent="0.25"/>
    <row r="972" ht="12" customHeight="1" x14ac:dyDescent="0.25"/>
    <row r="973" ht="12" customHeight="1" x14ac:dyDescent="0.25"/>
    <row r="974" ht="12" customHeight="1" x14ac:dyDescent="0.25"/>
    <row r="975" ht="12" customHeight="1" x14ac:dyDescent="0.25"/>
    <row r="976" ht="12" customHeight="1" x14ac:dyDescent="0.25"/>
    <row r="977" ht="12" customHeight="1" x14ac:dyDescent="0.25"/>
    <row r="978" ht="12" customHeight="1" x14ac:dyDescent="0.25"/>
    <row r="979" ht="12" customHeight="1" x14ac:dyDescent="0.25"/>
    <row r="980" ht="12" customHeight="1" x14ac:dyDescent="0.25"/>
    <row r="981" ht="12" customHeight="1" x14ac:dyDescent="0.25"/>
    <row r="982" ht="12" customHeight="1" x14ac:dyDescent="0.25"/>
    <row r="983" ht="12" customHeight="1" x14ac:dyDescent="0.25"/>
    <row r="984" ht="12" customHeight="1" x14ac:dyDescent="0.25"/>
    <row r="985" ht="12" customHeight="1" x14ac:dyDescent="0.25"/>
    <row r="986" ht="12" customHeight="1" x14ac:dyDescent="0.25"/>
    <row r="987" ht="12" customHeight="1" x14ac:dyDescent="0.25"/>
    <row r="988" ht="12" customHeight="1" x14ac:dyDescent="0.25"/>
    <row r="989" ht="12" customHeight="1" x14ac:dyDescent="0.25"/>
    <row r="990" ht="12" customHeight="1" x14ac:dyDescent="0.25"/>
    <row r="991" ht="12" customHeight="1" x14ac:dyDescent="0.25"/>
    <row r="992" ht="12" customHeight="1" x14ac:dyDescent="0.25"/>
    <row r="993" ht="12" customHeight="1" x14ac:dyDescent="0.25"/>
    <row r="994" ht="12" customHeight="1" x14ac:dyDescent="0.25"/>
    <row r="995" ht="12" customHeight="1" x14ac:dyDescent="0.25"/>
    <row r="996" ht="12" customHeight="1" x14ac:dyDescent="0.25"/>
    <row r="997" ht="12" customHeight="1" x14ac:dyDescent="0.25"/>
    <row r="998" ht="12" customHeight="1" x14ac:dyDescent="0.25"/>
    <row r="999" ht="12" customHeight="1" x14ac:dyDescent="0.25"/>
    <row r="1000" ht="12" customHeight="1" x14ac:dyDescent="0.25"/>
  </sheetData>
  <pageMargins left="0.7" right="0.7" top="0.75" bottom="0.75" header="0" footer="0"/>
  <pageSetup orientation="landscape"/>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Z1000"/>
  <sheetViews>
    <sheetView tabSelected="1" workbookViewId="0"/>
  </sheetViews>
  <sheetFormatPr baseColWidth="10" defaultColWidth="12.6328125" defaultRowHeight="15" customHeight="1" x14ac:dyDescent="0.25"/>
  <cols>
    <col min="1" max="1" width="17.6328125" customWidth="1"/>
    <col min="2" max="2" width="7.90625" customWidth="1"/>
    <col min="3" max="3" width="8" customWidth="1"/>
    <col min="4" max="8" width="5.36328125" customWidth="1"/>
    <col min="9" max="9" width="6.08984375" customWidth="1"/>
    <col min="10" max="13" width="5.36328125" customWidth="1"/>
    <col min="14" max="14" width="8.26953125" customWidth="1"/>
    <col min="15" max="17" width="5.36328125" customWidth="1"/>
    <col min="18" max="26" width="10.6328125" customWidth="1"/>
  </cols>
  <sheetData>
    <row r="1" spans="1:26" ht="12" customHeight="1" x14ac:dyDescent="0.25">
      <c r="A1" s="26" t="s">
        <v>39</v>
      </c>
      <c r="B1" s="58">
        <v>10</v>
      </c>
      <c r="C1" s="23"/>
      <c r="D1" s="23"/>
      <c r="E1" s="23"/>
      <c r="F1" s="23"/>
      <c r="G1" s="23"/>
      <c r="H1" s="23"/>
      <c r="I1" s="23"/>
      <c r="J1" s="23"/>
      <c r="K1" s="23"/>
      <c r="L1" s="23"/>
      <c r="M1" s="23"/>
      <c r="N1" s="23"/>
      <c r="O1" s="23"/>
      <c r="P1" s="23"/>
      <c r="Q1" s="23"/>
    </row>
    <row r="2" spans="1:26" ht="12" customHeight="1" x14ac:dyDescent="0.25">
      <c r="A2" s="24" t="s">
        <v>82</v>
      </c>
      <c r="B2" s="59">
        <v>1</v>
      </c>
      <c r="C2" s="59">
        <v>2</v>
      </c>
      <c r="D2" s="25">
        <v>3</v>
      </c>
      <c r="E2" s="23"/>
      <c r="F2" s="23"/>
      <c r="G2" s="23"/>
      <c r="H2" s="23"/>
      <c r="I2" s="23"/>
      <c r="J2" s="23"/>
      <c r="K2" s="23"/>
      <c r="L2" s="23"/>
      <c r="M2" s="23"/>
      <c r="N2" s="23"/>
      <c r="O2" s="23"/>
      <c r="P2" s="23"/>
      <c r="Q2" s="23"/>
      <c r="R2" s="1"/>
      <c r="S2" s="1"/>
      <c r="T2" s="1"/>
      <c r="U2" s="1"/>
      <c r="V2" s="1"/>
      <c r="W2" s="1"/>
      <c r="X2" s="1"/>
      <c r="Y2" s="1"/>
      <c r="Z2" s="1"/>
    </row>
    <row r="3" spans="1:26" ht="12" customHeight="1" x14ac:dyDescent="0.25">
      <c r="A3" s="26" t="s">
        <v>31</v>
      </c>
      <c r="B3" s="60">
        <v>50</v>
      </c>
      <c r="C3" s="60">
        <v>50</v>
      </c>
      <c r="D3" s="58">
        <v>50</v>
      </c>
      <c r="E3" s="23"/>
      <c r="F3" s="23">
        <f t="shared" ref="F3:H3" si="0">B3/(1+$A$9)^B2</f>
        <v>45.454545454545453</v>
      </c>
      <c r="G3" s="23">
        <f t="shared" si="0"/>
        <v>41.322314049586772</v>
      </c>
      <c r="H3" s="23">
        <f t="shared" si="0"/>
        <v>37.565740045078876</v>
      </c>
      <c r="I3" s="23" t="s">
        <v>83</v>
      </c>
      <c r="J3" s="23"/>
      <c r="K3" s="23"/>
      <c r="L3" s="23"/>
      <c r="M3" s="23"/>
      <c r="N3" s="23" t="s">
        <v>84</v>
      </c>
      <c r="O3" s="23"/>
      <c r="P3" s="23"/>
      <c r="Q3" s="23"/>
    </row>
    <row r="4" spans="1:26" ht="12" customHeight="1" x14ac:dyDescent="0.25">
      <c r="A4" s="43" t="s">
        <v>32</v>
      </c>
      <c r="B4" s="61">
        <v>0</v>
      </c>
      <c r="C4" s="61">
        <v>0</v>
      </c>
      <c r="D4" s="62">
        <v>1000</v>
      </c>
      <c r="E4" s="23"/>
      <c r="F4" s="23">
        <f t="shared" ref="F4:H4" si="1">B4/(1+$A$9)^B2</f>
        <v>0</v>
      </c>
      <c r="G4" s="23">
        <f t="shared" si="1"/>
        <v>0</v>
      </c>
      <c r="H4" s="23">
        <f t="shared" si="1"/>
        <v>751.31480090157754</v>
      </c>
      <c r="I4" s="53">
        <f>SUM(F3:H3)+SUM(F4:H4)</f>
        <v>875.6574004507886</v>
      </c>
      <c r="J4" s="23"/>
      <c r="K4" s="23">
        <f t="shared" ref="K4:M4" si="2">B2*(F3+F4)</f>
        <v>45.454545454545453</v>
      </c>
      <c r="L4" s="23">
        <f t="shared" si="2"/>
        <v>82.644628099173545</v>
      </c>
      <c r="M4" s="23">
        <f t="shared" si="2"/>
        <v>2366.6416228399694</v>
      </c>
      <c r="N4" s="63">
        <f>SUM(K4:M4)/I4</f>
        <v>2.8489918489918495</v>
      </c>
      <c r="O4" s="23"/>
      <c r="P4" s="23"/>
      <c r="Q4" s="23"/>
    </row>
    <row r="5" spans="1:26" ht="12" customHeight="1" x14ac:dyDescent="0.25">
      <c r="A5" s="24" t="s">
        <v>85</v>
      </c>
      <c r="B5" s="59">
        <v>1</v>
      </c>
      <c r="C5" s="59">
        <v>2</v>
      </c>
      <c r="D5" s="25">
        <v>3</v>
      </c>
      <c r="E5" s="23"/>
      <c r="F5" s="23"/>
      <c r="G5" s="23"/>
      <c r="H5" s="23"/>
      <c r="I5" s="23"/>
      <c r="J5" s="23"/>
      <c r="K5" s="23"/>
      <c r="L5" s="23"/>
      <c r="M5" s="23"/>
      <c r="N5" s="23"/>
      <c r="O5" s="23"/>
      <c r="P5" s="23"/>
      <c r="Q5" s="23"/>
    </row>
    <row r="6" spans="1:26" ht="12" customHeight="1" x14ac:dyDescent="0.25">
      <c r="A6" s="26" t="s">
        <v>31</v>
      </c>
      <c r="B6" s="60">
        <v>50</v>
      </c>
      <c r="C6" s="60">
        <v>33</v>
      </c>
      <c r="D6" s="58">
        <v>17</v>
      </c>
      <c r="E6" s="23"/>
      <c r="F6" s="23">
        <f t="shared" ref="F6:H6" si="3">B6/(1+$A$9)^B5</f>
        <v>45.454545454545453</v>
      </c>
      <c r="G6" s="23">
        <f t="shared" si="3"/>
        <v>27.27272727272727</v>
      </c>
      <c r="H6" s="23">
        <f t="shared" si="3"/>
        <v>12.772351615326818</v>
      </c>
      <c r="I6" s="23" t="s">
        <v>83</v>
      </c>
      <c r="J6" s="23"/>
      <c r="K6" s="23"/>
      <c r="L6" s="23"/>
      <c r="M6" s="23"/>
      <c r="N6" s="23" t="s">
        <v>84</v>
      </c>
      <c r="O6" s="23"/>
      <c r="P6" s="23"/>
      <c r="Q6" s="23"/>
    </row>
    <row r="7" spans="1:26" ht="12" customHeight="1" x14ac:dyDescent="0.25">
      <c r="A7" s="43" t="s">
        <v>32</v>
      </c>
      <c r="B7" s="61">
        <v>333</v>
      </c>
      <c r="C7" s="61">
        <v>333</v>
      </c>
      <c r="D7" s="62">
        <v>333</v>
      </c>
      <c r="E7" s="23"/>
      <c r="F7" s="23">
        <f t="shared" ref="F7:H7" si="4">B7/(1+$A$9)^B5</f>
        <v>302.72727272727269</v>
      </c>
      <c r="G7" s="23">
        <f t="shared" si="4"/>
        <v>275.2066115702479</v>
      </c>
      <c r="H7" s="23">
        <f t="shared" si="4"/>
        <v>250.18782870022531</v>
      </c>
      <c r="I7" s="53">
        <f>SUM(F6:H6)+SUM(F7:H7)</f>
        <v>913.62133734034535</v>
      </c>
      <c r="J7" s="23"/>
      <c r="K7" s="23">
        <f t="shared" ref="K7:M7" si="5">B5*(F6+F7)</f>
        <v>348.18181818181813</v>
      </c>
      <c r="L7" s="23">
        <f t="shared" si="5"/>
        <v>604.95867768595031</v>
      </c>
      <c r="M7" s="23">
        <f t="shared" si="5"/>
        <v>788.88054094665631</v>
      </c>
      <c r="N7" s="63">
        <f>SUM(K7:M7)/I7</f>
        <v>1.9067210512898531</v>
      </c>
      <c r="O7" s="23"/>
      <c r="P7" s="23"/>
      <c r="Q7" s="23"/>
    </row>
    <row r="8" spans="1:26" ht="12" customHeight="1" x14ac:dyDescent="0.25">
      <c r="A8" s="23" t="s">
        <v>86</v>
      </c>
      <c r="B8" s="23"/>
      <c r="C8" s="23"/>
      <c r="D8" s="23"/>
      <c r="E8" s="23"/>
      <c r="F8" s="23"/>
      <c r="G8" s="23"/>
      <c r="H8" s="23"/>
      <c r="I8" s="23"/>
      <c r="J8" s="23"/>
      <c r="K8" s="23"/>
      <c r="L8" s="23"/>
      <c r="M8" s="23"/>
      <c r="N8" s="23"/>
      <c r="O8" s="23"/>
      <c r="P8" s="23"/>
      <c r="Q8" s="23"/>
    </row>
    <row r="9" spans="1:26" ht="12" customHeight="1" x14ac:dyDescent="0.25">
      <c r="A9" s="37">
        <v>0.1</v>
      </c>
      <c r="B9" s="23"/>
      <c r="C9" s="23"/>
      <c r="D9" s="23"/>
      <c r="E9" s="23"/>
      <c r="F9" s="23"/>
      <c r="G9" s="23"/>
      <c r="H9" s="23"/>
      <c r="I9" s="23"/>
      <c r="J9" s="23"/>
      <c r="K9" s="23"/>
      <c r="L9" s="23"/>
      <c r="M9" s="23"/>
      <c r="N9" s="23"/>
      <c r="O9" s="23"/>
      <c r="P9" s="23"/>
      <c r="Q9" s="23"/>
    </row>
    <row r="10" spans="1:26" ht="12" customHeight="1" x14ac:dyDescent="0.25">
      <c r="A10" s="23"/>
      <c r="B10" s="23"/>
      <c r="C10" s="23"/>
      <c r="D10" s="23"/>
      <c r="E10" s="23"/>
      <c r="F10" s="23"/>
      <c r="G10" s="23"/>
      <c r="H10" s="23"/>
      <c r="I10" s="23"/>
      <c r="J10" s="23"/>
      <c r="K10" s="23"/>
      <c r="L10" s="23"/>
      <c r="M10" s="23"/>
      <c r="N10" s="23"/>
      <c r="O10" s="23"/>
      <c r="P10" s="23"/>
      <c r="Q10" s="23"/>
    </row>
    <row r="11" spans="1:26" ht="12" customHeight="1" x14ac:dyDescent="0.25">
      <c r="A11" s="23"/>
      <c r="B11" s="23"/>
      <c r="C11" s="23"/>
      <c r="D11" s="23"/>
      <c r="E11" s="23"/>
      <c r="F11" s="23"/>
      <c r="G11" s="23"/>
      <c r="H11" s="23"/>
      <c r="I11" s="23"/>
      <c r="J11" s="23"/>
      <c r="K11" s="23"/>
      <c r="L11" s="23"/>
      <c r="M11" s="23"/>
      <c r="N11" s="23"/>
      <c r="O11" s="23"/>
      <c r="P11" s="23"/>
      <c r="Q11" s="23"/>
    </row>
    <row r="12" spans="1:26" ht="12" customHeight="1" x14ac:dyDescent="0.25">
      <c r="A12" s="23"/>
      <c r="B12" s="23"/>
      <c r="C12" s="23"/>
      <c r="D12" s="23"/>
      <c r="E12" s="23"/>
      <c r="F12" s="23"/>
      <c r="G12" s="23"/>
      <c r="H12" s="23"/>
      <c r="I12" s="23"/>
      <c r="J12" s="23"/>
      <c r="K12" s="23"/>
      <c r="L12" s="23"/>
      <c r="M12" s="23"/>
      <c r="N12" s="23"/>
      <c r="O12" s="23"/>
      <c r="P12" s="23"/>
      <c r="Q12" s="23"/>
    </row>
    <row r="13" spans="1:26" ht="12" customHeight="1" x14ac:dyDescent="0.25">
      <c r="A13" s="23"/>
      <c r="B13" s="23"/>
      <c r="C13" s="23"/>
      <c r="D13" s="23"/>
      <c r="E13" s="23"/>
      <c r="F13" s="23"/>
      <c r="G13" s="23"/>
      <c r="H13" s="23"/>
      <c r="I13" s="23"/>
      <c r="J13" s="23"/>
      <c r="K13" s="23"/>
      <c r="L13" s="23"/>
      <c r="M13" s="23"/>
      <c r="N13" s="23"/>
      <c r="O13" s="23"/>
      <c r="P13" s="23"/>
      <c r="Q13" s="23"/>
    </row>
    <row r="14" spans="1:26" ht="12" customHeight="1" x14ac:dyDescent="0.25">
      <c r="A14" s="23"/>
      <c r="B14" s="23"/>
      <c r="C14" s="23"/>
      <c r="D14" s="23"/>
      <c r="E14" s="23"/>
      <c r="F14" s="23"/>
      <c r="G14" s="23"/>
      <c r="H14" s="23"/>
      <c r="I14" s="23"/>
      <c r="J14" s="23"/>
      <c r="K14" s="23"/>
      <c r="L14" s="23"/>
      <c r="M14" s="23"/>
      <c r="N14" s="23"/>
      <c r="O14" s="23"/>
      <c r="P14" s="23"/>
      <c r="Q14" s="23"/>
    </row>
    <row r="15" spans="1:26" ht="12" customHeight="1" x14ac:dyDescent="0.25">
      <c r="A15" s="23"/>
      <c r="B15" s="23"/>
      <c r="C15" s="23"/>
      <c r="D15" s="23"/>
      <c r="E15" s="23"/>
      <c r="F15" s="23"/>
      <c r="G15" s="23"/>
      <c r="H15" s="23"/>
      <c r="I15" s="23"/>
      <c r="J15" s="23"/>
      <c r="K15" s="23"/>
      <c r="L15" s="23"/>
      <c r="M15" s="23"/>
      <c r="N15" s="23"/>
      <c r="O15" s="23"/>
      <c r="P15" s="23"/>
      <c r="Q15" s="23"/>
    </row>
    <row r="16" spans="1:26" ht="12" customHeight="1" x14ac:dyDescent="0.25">
      <c r="A16" s="23"/>
      <c r="B16" s="23"/>
      <c r="C16" s="23"/>
      <c r="D16" s="23"/>
      <c r="E16" s="23"/>
      <c r="F16" s="23"/>
      <c r="G16" s="23"/>
      <c r="H16" s="23"/>
      <c r="I16" s="23"/>
      <c r="J16" s="23"/>
      <c r="K16" s="23"/>
      <c r="L16" s="23"/>
      <c r="M16" s="23"/>
      <c r="N16" s="23"/>
      <c r="O16" s="23"/>
      <c r="P16" s="23"/>
      <c r="Q16" s="23"/>
    </row>
    <row r="17" spans="1:17" ht="12" customHeight="1" x14ac:dyDescent="0.25">
      <c r="A17" s="23"/>
      <c r="B17" s="23"/>
      <c r="C17" s="23"/>
      <c r="D17" s="23"/>
      <c r="E17" s="23"/>
      <c r="F17" s="23"/>
      <c r="G17" s="23"/>
      <c r="H17" s="23"/>
      <c r="I17" s="23"/>
      <c r="J17" s="23"/>
      <c r="K17" s="23"/>
      <c r="L17" s="23"/>
      <c r="M17" s="23"/>
      <c r="N17" s="23"/>
      <c r="O17" s="23"/>
      <c r="P17" s="23"/>
      <c r="Q17" s="23"/>
    </row>
    <row r="18" spans="1:17" ht="12" customHeight="1" x14ac:dyDescent="0.25">
      <c r="A18" s="23"/>
      <c r="B18" s="23"/>
      <c r="C18" s="23"/>
      <c r="D18" s="23"/>
      <c r="E18" s="23"/>
      <c r="F18" s="23"/>
      <c r="G18" s="23"/>
      <c r="H18" s="23"/>
      <c r="I18" s="23"/>
      <c r="J18" s="23"/>
      <c r="K18" s="23"/>
      <c r="L18" s="23"/>
      <c r="M18" s="23"/>
      <c r="N18" s="23"/>
      <c r="O18" s="23"/>
      <c r="P18" s="23"/>
      <c r="Q18" s="23"/>
    </row>
    <row r="19" spans="1:17" ht="12" customHeight="1" x14ac:dyDescent="0.25">
      <c r="A19" s="23"/>
      <c r="B19" s="23"/>
      <c r="C19" s="23"/>
      <c r="D19" s="23"/>
      <c r="E19" s="23"/>
      <c r="F19" s="23"/>
      <c r="G19" s="23"/>
      <c r="H19" s="23"/>
      <c r="I19" s="23"/>
      <c r="J19" s="23"/>
      <c r="K19" s="23"/>
      <c r="L19" s="23"/>
      <c r="M19" s="23"/>
      <c r="N19" s="23"/>
      <c r="O19" s="23"/>
      <c r="P19" s="23"/>
      <c r="Q19" s="23"/>
    </row>
    <row r="20" spans="1:17" ht="12" customHeight="1" x14ac:dyDescent="0.25">
      <c r="A20" s="23"/>
      <c r="B20" s="23"/>
      <c r="C20" s="23"/>
      <c r="D20" s="23"/>
      <c r="E20" s="23"/>
      <c r="F20" s="23"/>
      <c r="G20" s="23"/>
      <c r="H20" s="23"/>
      <c r="I20" s="23"/>
      <c r="J20" s="23"/>
      <c r="K20" s="23"/>
      <c r="L20" s="23"/>
      <c r="M20" s="23"/>
      <c r="N20" s="23"/>
      <c r="O20" s="23"/>
      <c r="P20" s="23"/>
      <c r="Q20" s="23"/>
    </row>
    <row r="21" spans="1:17" ht="12" customHeight="1" x14ac:dyDescent="0.25">
      <c r="A21" s="23"/>
      <c r="B21" s="23"/>
      <c r="C21" s="23"/>
      <c r="D21" s="23"/>
      <c r="E21" s="23"/>
      <c r="F21" s="23"/>
      <c r="G21" s="23"/>
      <c r="H21" s="23"/>
      <c r="I21" s="23"/>
      <c r="J21" s="23"/>
      <c r="K21" s="23"/>
      <c r="L21" s="23"/>
      <c r="M21" s="23"/>
      <c r="N21" s="23"/>
      <c r="O21" s="23"/>
      <c r="P21" s="23"/>
      <c r="Q21" s="23"/>
    </row>
    <row r="22" spans="1:17" ht="12" customHeight="1" x14ac:dyDescent="0.25">
      <c r="A22" s="23"/>
      <c r="B22" s="23"/>
      <c r="C22" s="23"/>
      <c r="D22" s="23"/>
      <c r="E22" s="23"/>
      <c r="F22" s="23"/>
      <c r="G22" s="23"/>
      <c r="H22" s="23"/>
      <c r="I22" s="23"/>
      <c r="J22" s="23"/>
      <c r="K22" s="23"/>
      <c r="L22" s="23"/>
      <c r="M22" s="23"/>
      <c r="N22" s="23"/>
      <c r="O22" s="23"/>
      <c r="P22" s="23"/>
      <c r="Q22" s="23"/>
    </row>
    <row r="23" spans="1:17" ht="12" customHeight="1" x14ac:dyDescent="0.25">
      <c r="A23" s="23"/>
      <c r="B23" s="23"/>
      <c r="C23" s="23"/>
      <c r="D23" s="23"/>
      <c r="E23" s="23"/>
      <c r="F23" s="23"/>
      <c r="G23" s="23"/>
      <c r="H23" s="23"/>
      <c r="I23" s="23"/>
      <c r="J23" s="23"/>
      <c r="K23" s="23"/>
      <c r="L23" s="23"/>
      <c r="M23" s="23"/>
      <c r="N23" s="23"/>
      <c r="O23" s="23"/>
      <c r="P23" s="23"/>
      <c r="Q23" s="23"/>
    </row>
    <row r="24" spans="1:17" ht="12" customHeight="1" x14ac:dyDescent="0.25"/>
    <row r="25" spans="1:17" ht="12" customHeight="1" x14ac:dyDescent="0.25"/>
    <row r="26" spans="1:17" ht="12" customHeight="1" x14ac:dyDescent="0.25"/>
    <row r="27" spans="1:17" ht="12" customHeight="1" x14ac:dyDescent="0.25"/>
    <row r="28" spans="1:17" ht="12" customHeight="1" x14ac:dyDescent="0.25"/>
    <row r="29" spans="1:17" ht="12" customHeight="1" x14ac:dyDescent="0.25"/>
    <row r="30" spans="1:17" ht="12" customHeight="1" x14ac:dyDescent="0.25"/>
    <row r="31" spans="1:17" ht="12" customHeight="1" x14ac:dyDescent="0.25"/>
    <row r="32" spans="1:17" ht="12" customHeight="1" x14ac:dyDescent="0.25"/>
    <row r="33" ht="12" customHeight="1" x14ac:dyDescent="0.25"/>
    <row r="34" ht="12" customHeight="1" x14ac:dyDescent="0.25"/>
    <row r="35" ht="12" customHeight="1" x14ac:dyDescent="0.25"/>
    <row r="36" ht="12" customHeight="1" x14ac:dyDescent="0.25"/>
    <row r="37" ht="12" customHeight="1" x14ac:dyDescent="0.25"/>
    <row r="38" ht="12" customHeight="1" x14ac:dyDescent="0.25"/>
    <row r="39" ht="12" customHeight="1" x14ac:dyDescent="0.25"/>
    <row r="40" ht="12" customHeight="1" x14ac:dyDescent="0.25"/>
    <row r="41" ht="12" customHeight="1" x14ac:dyDescent="0.25"/>
    <row r="42" ht="12" customHeight="1" x14ac:dyDescent="0.25"/>
    <row r="43" ht="12" customHeight="1" x14ac:dyDescent="0.25"/>
    <row r="44" ht="12" customHeight="1" x14ac:dyDescent="0.25"/>
    <row r="45" ht="12" customHeight="1" x14ac:dyDescent="0.25"/>
    <row r="46" ht="12" customHeight="1" x14ac:dyDescent="0.25"/>
    <row r="47" ht="12" customHeight="1" x14ac:dyDescent="0.25"/>
    <row r="48" ht="12" customHeight="1" x14ac:dyDescent="0.25"/>
    <row r="49" ht="12" customHeight="1" x14ac:dyDescent="0.25"/>
    <row r="50" ht="12" customHeight="1" x14ac:dyDescent="0.25"/>
    <row r="51" ht="12" customHeight="1" x14ac:dyDescent="0.25"/>
    <row r="52" ht="12" customHeight="1" x14ac:dyDescent="0.25"/>
    <row r="53" ht="12" customHeight="1" x14ac:dyDescent="0.25"/>
    <row r="54" ht="12" customHeight="1" x14ac:dyDescent="0.25"/>
    <row r="55" ht="12" customHeight="1" x14ac:dyDescent="0.25"/>
    <row r="56" ht="12" customHeight="1" x14ac:dyDescent="0.25"/>
    <row r="57" ht="12" customHeight="1" x14ac:dyDescent="0.25"/>
    <row r="58" ht="12" customHeight="1" x14ac:dyDescent="0.25"/>
    <row r="59" ht="12" customHeight="1" x14ac:dyDescent="0.25"/>
    <row r="60" ht="12" customHeight="1" x14ac:dyDescent="0.25"/>
    <row r="61" ht="12" customHeight="1" x14ac:dyDescent="0.25"/>
    <row r="62" ht="12" customHeight="1" x14ac:dyDescent="0.25"/>
    <row r="63" ht="12" customHeight="1" x14ac:dyDescent="0.25"/>
    <row r="64" ht="12" customHeight="1" x14ac:dyDescent="0.25"/>
    <row r="65" ht="12" customHeight="1" x14ac:dyDescent="0.25"/>
    <row r="66" ht="12" customHeight="1" x14ac:dyDescent="0.25"/>
    <row r="67" ht="12" customHeight="1" x14ac:dyDescent="0.25"/>
    <row r="68" ht="12" customHeight="1" x14ac:dyDescent="0.25"/>
    <row r="69" ht="12" customHeight="1" x14ac:dyDescent="0.25"/>
    <row r="70" ht="12" customHeight="1" x14ac:dyDescent="0.25"/>
    <row r="71" ht="12" customHeight="1" x14ac:dyDescent="0.25"/>
    <row r="72" ht="12" customHeight="1" x14ac:dyDescent="0.25"/>
    <row r="73" ht="12" customHeight="1" x14ac:dyDescent="0.25"/>
    <row r="74" ht="12" customHeight="1" x14ac:dyDescent="0.25"/>
    <row r="75" ht="12" customHeight="1" x14ac:dyDescent="0.25"/>
    <row r="76" ht="12" customHeight="1" x14ac:dyDescent="0.25"/>
    <row r="77" ht="12" customHeight="1" x14ac:dyDescent="0.25"/>
    <row r="78" ht="12" customHeight="1" x14ac:dyDescent="0.25"/>
    <row r="79" ht="12" customHeight="1" x14ac:dyDescent="0.25"/>
    <row r="80" ht="12" customHeight="1" x14ac:dyDescent="0.25"/>
    <row r="81" ht="12" customHeight="1" x14ac:dyDescent="0.25"/>
    <row r="82" ht="12" customHeight="1" x14ac:dyDescent="0.25"/>
    <row r="83" ht="12" customHeight="1" x14ac:dyDescent="0.25"/>
    <row r="84" ht="12" customHeight="1" x14ac:dyDescent="0.25"/>
    <row r="85" ht="12" customHeight="1" x14ac:dyDescent="0.25"/>
    <row r="86" ht="12" customHeight="1" x14ac:dyDescent="0.25"/>
    <row r="87" ht="12" customHeight="1" x14ac:dyDescent="0.25"/>
    <row r="88" ht="12" customHeight="1" x14ac:dyDescent="0.25"/>
    <row r="89" ht="12" customHeight="1" x14ac:dyDescent="0.25"/>
    <row r="90" ht="12" customHeight="1" x14ac:dyDescent="0.25"/>
    <row r="91" ht="12" customHeight="1" x14ac:dyDescent="0.25"/>
    <row r="92" ht="12" customHeight="1" x14ac:dyDescent="0.25"/>
    <row r="93" ht="12" customHeight="1" x14ac:dyDescent="0.25"/>
    <row r="94" ht="12" customHeight="1" x14ac:dyDescent="0.25"/>
    <row r="95" ht="12" customHeight="1" x14ac:dyDescent="0.25"/>
    <row r="96" ht="12" customHeight="1" x14ac:dyDescent="0.25"/>
    <row r="97" ht="12" customHeight="1" x14ac:dyDescent="0.25"/>
    <row r="98" ht="12" customHeight="1" x14ac:dyDescent="0.25"/>
    <row r="99" ht="12" customHeight="1" x14ac:dyDescent="0.25"/>
    <row r="100" ht="12" customHeight="1" x14ac:dyDescent="0.25"/>
    <row r="101" ht="12" customHeight="1" x14ac:dyDescent="0.25"/>
    <row r="102" ht="12" customHeight="1" x14ac:dyDescent="0.25"/>
    <row r="103" ht="12" customHeight="1" x14ac:dyDescent="0.25"/>
    <row r="104" ht="12" customHeight="1" x14ac:dyDescent="0.25"/>
    <row r="105" ht="12" customHeight="1" x14ac:dyDescent="0.25"/>
    <row r="106" ht="12" customHeight="1" x14ac:dyDescent="0.25"/>
    <row r="107" ht="12" customHeight="1" x14ac:dyDescent="0.25"/>
    <row r="108" ht="12" customHeight="1" x14ac:dyDescent="0.25"/>
    <row r="109" ht="12" customHeight="1" x14ac:dyDescent="0.25"/>
    <row r="110" ht="12" customHeight="1" x14ac:dyDescent="0.25"/>
    <row r="111" ht="12" customHeight="1" x14ac:dyDescent="0.25"/>
    <row r="112" ht="12" customHeight="1" x14ac:dyDescent="0.25"/>
    <row r="113" ht="12" customHeight="1" x14ac:dyDescent="0.25"/>
    <row r="114" ht="12" customHeight="1" x14ac:dyDescent="0.25"/>
    <row r="115" ht="12" customHeight="1" x14ac:dyDescent="0.25"/>
    <row r="116" ht="12" customHeight="1" x14ac:dyDescent="0.25"/>
    <row r="117" ht="12" customHeight="1" x14ac:dyDescent="0.25"/>
    <row r="118" ht="12" customHeight="1" x14ac:dyDescent="0.25"/>
    <row r="119" ht="12" customHeight="1" x14ac:dyDescent="0.25"/>
    <row r="120" ht="12" customHeight="1" x14ac:dyDescent="0.25"/>
    <row r="121" ht="12" customHeight="1" x14ac:dyDescent="0.25"/>
    <row r="122" ht="12" customHeight="1" x14ac:dyDescent="0.25"/>
    <row r="123" ht="12" customHeight="1" x14ac:dyDescent="0.25"/>
    <row r="124" ht="12" customHeight="1" x14ac:dyDescent="0.25"/>
    <row r="125" ht="12" customHeight="1" x14ac:dyDescent="0.25"/>
    <row r="126" ht="12" customHeight="1" x14ac:dyDescent="0.25"/>
    <row r="127" ht="12" customHeight="1" x14ac:dyDescent="0.25"/>
    <row r="128" ht="12" customHeight="1" x14ac:dyDescent="0.25"/>
    <row r="129" ht="12" customHeight="1" x14ac:dyDescent="0.25"/>
    <row r="130" ht="12" customHeight="1" x14ac:dyDescent="0.25"/>
    <row r="131" ht="12" customHeight="1" x14ac:dyDescent="0.25"/>
    <row r="132" ht="12" customHeight="1" x14ac:dyDescent="0.25"/>
    <row r="133" ht="12" customHeight="1" x14ac:dyDescent="0.25"/>
    <row r="134" ht="12" customHeight="1" x14ac:dyDescent="0.25"/>
    <row r="135" ht="12" customHeight="1" x14ac:dyDescent="0.25"/>
    <row r="136" ht="12" customHeight="1" x14ac:dyDescent="0.25"/>
    <row r="137" ht="12" customHeight="1" x14ac:dyDescent="0.25"/>
    <row r="138" ht="12" customHeight="1" x14ac:dyDescent="0.25"/>
    <row r="139" ht="12" customHeight="1" x14ac:dyDescent="0.25"/>
    <row r="140" ht="12" customHeight="1" x14ac:dyDescent="0.25"/>
    <row r="141" ht="12" customHeight="1" x14ac:dyDescent="0.25"/>
    <row r="142" ht="12" customHeight="1" x14ac:dyDescent="0.25"/>
    <row r="143" ht="12" customHeight="1" x14ac:dyDescent="0.25"/>
    <row r="144" ht="12" customHeight="1" x14ac:dyDescent="0.25"/>
    <row r="145" ht="12" customHeight="1" x14ac:dyDescent="0.25"/>
    <row r="146" ht="12" customHeight="1" x14ac:dyDescent="0.25"/>
    <row r="147" ht="12" customHeight="1" x14ac:dyDescent="0.25"/>
    <row r="148" ht="12" customHeight="1" x14ac:dyDescent="0.25"/>
    <row r="149" ht="12" customHeight="1" x14ac:dyDescent="0.25"/>
    <row r="150" ht="12" customHeight="1" x14ac:dyDescent="0.25"/>
    <row r="151" ht="12" customHeight="1" x14ac:dyDescent="0.25"/>
    <row r="152" ht="12" customHeight="1" x14ac:dyDescent="0.25"/>
    <row r="153" ht="12" customHeight="1" x14ac:dyDescent="0.25"/>
    <row r="154" ht="12" customHeight="1" x14ac:dyDescent="0.25"/>
    <row r="155" ht="12" customHeight="1" x14ac:dyDescent="0.25"/>
    <row r="156" ht="12" customHeight="1" x14ac:dyDescent="0.25"/>
    <row r="157" ht="12" customHeight="1" x14ac:dyDescent="0.25"/>
    <row r="158" ht="12" customHeight="1" x14ac:dyDescent="0.25"/>
    <row r="159" ht="12" customHeight="1" x14ac:dyDescent="0.25"/>
    <row r="160" ht="12" customHeight="1" x14ac:dyDescent="0.25"/>
    <row r="161" ht="12" customHeight="1" x14ac:dyDescent="0.25"/>
    <row r="162" ht="12" customHeight="1" x14ac:dyDescent="0.25"/>
    <row r="163" ht="12" customHeight="1" x14ac:dyDescent="0.25"/>
    <row r="164" ht="12" customHeight="1" x14ac:dyDescent="0.25"/>
    <row r="165" ht="12" customHeight="1" x14ac:dyDescent="0.25"/>
    <row r="166" ht="12" customHeight="1" x14ac:dyDescent="0.25"/>
    <row r="167" ht="12" customHeight="1" x14ac:dyDescent="0.25"/>
    <row r="168" ht="12" customHeight="1" x14ac:dyDescent="0.25"/>
    <row r="169" ht="12" customHeight="1" x14ac:dyDescent="0.25"/>
    <row r="170" ht="12" customHeight="1" x14ac:dyDescent="0.25"/>
    <row r="171" ht="12" customHeight="1" x14ac:dyDescent="0.25"/>
    <row r="172" ht="12" customHeight="1" x14ac:dyDescent="0.25"/>
    <row r="173" ht="12" customHeight="1" x14ac:dyDescent="0.25"/>
    <row r="174" ht="12" customHeight="1" x14ac:dyDescent="0.25"/>
    <row r="175" ht="12" customHeight="1" x14ac:dyDescent="0.25"/>
    <row r="176" ht="12" customHeight="1" x14ac:dyDescent="0.25"/>
    <row r="177" ht="12" customHeight="1" x14ac:dyDescent="0.25"/>
    <row r="178" ht="12" customHeight="1" x14ac:dyDescent="0.25"/>
    <row r="179" ht="12" customHeight="1" x14ac:dyDescent="0.25"/>
    <row r="180" ht="12" customHeight="1" x14ac:dyDescent="0.25"/>
    <row r="181" ht="12" customHeight="1" x14ac:dyDescent="0.25"/>
    <row r="182" ht="12" customHeight="1" x14ac:dyDescent="0.25"/>
    <row r="183" ht="12" customHeight="1" x14ac:dyDescent="0.25"/>
    <row r="184" ht="12" customHeight="1" x14ac:dyDescent="0.25"/>
    <row r="185" ht="12" customHeight="1" x14ac:dyDescent="0.25"/>
    <row r="186" ht="12" customHeight="1" x14ac:dyDescent="0.25"/>
    <row r="187" ht="12" customHeight="1" x14ac:dyDescent="0.25"/>
    <row r="188" ht="12" customHeight="1" x14ac:dyDescent="0.25"/>
    <row r="189" ht="12" customHeight="1" x14ac:dyDescent="0.25"/>
    <row r="190" ht="12" customHeight="1" x14ac:dyDescent="0.25"/>
    <row r="191" ht="12" customHeight="1" x14ac:dyDescent="0.25"/>
    <row r="192" ht="12" customHeight="1" x14ac:dyDescent="0.25"/>
    <row r="193" ht="12" customHeight="1" x14ac:dyDescent="0.25"/>
    <row r="194" ht="12" customHeight="1" x14ac:dyDescent="0.25"/>
    <row r="195" ht="12" customHeight="1" x14ac:dyDescent="0.25"/>
    <row r="196" ht="12" customHeight="1" x14ac:dyDescent="0.25"/>
    <row r="197" ht="12" customHeight="1" x14ac:dyDescent="0.25"/>
    <row r="198" ht="12" customHeight="1" x14ac:dyDescent="0.25"/>
    <row r="199" ht="12" customHeight="1" x14ac:dyDescent="0.25"/>
    <row r="200" ht="12" customHeight="1" x14ac:dyDescent="0.25"/>
    <row r="201" ht="12" customHeight="1" x14ac:dyDescent="0.25"/>
    <row r="202" ht="12" customHeight="1" x14ac:dyDescent="0.25"/>
    <row r="203" ht="12" customHeight="1" x14ac:dyDescent="0.25"/>
    <row r="204" ht="12" customHeight="1" x14ac:dyDescent="0.25"/>
    <row r="205" ht="12" customHeight="1" x14ac:dyDescent="0.25"/>
    <row r="206" ht="12" customHeight="1" x14ac:dyDescent="0.25"/>
    <row r="207" ht="12" customHeight="1" x14ac:dyDescent="0.25"/>
    <row r="208" ht="12" customHeight="1" x14ac:dyDescent="0.25"/>
    <row r="209" ht="12" customHeight="1" x14ac:dyDescent="0.25"/>
    <row r="210" ht="12" customHeight="1" x14ac:dyDescent="0.25"/>
    <row r="211" ht="12" customHeight="1" x14ac:dyDescent="0.25"/>
    <row r="212" ht="12" customHeight="1" x14ac:dyDescent="0.25"/>
    <row r="213" ht="12" customHeight="1" x14ac:dyDescent="0.25"/>
    <row r="214" ht="12" customHeight="1" x14ac:dyDescent="0.25"/>
    <row r="215" ht="12" customHeight="1" x14ac:dyDescent="0.25"/>
    <row r="216" ht="12" customHeight="1" x14ac:dyDescent="0.25"/>
    <row r="217" ht="12" customHeight="1" x14ac:dyDescent="0.25"/>
    <row r="218" ht="12" customHeight="1" x14ac:dyDescent="0.25"/>
    <row r="219" ht="12" customHeight="1" x14ac:dyDescent="0.25"/>
    <row r="220" ht="12" customHeight="1" x14ac:dyDescent="0.25"/>
    <row r="221" ht="12" customHeight="1" x14ac:dyDescent="0.25"/>
    <row r="222" ht="12" customHeight="1" x14ac:dyDescent="0.25"/>
    <row r="223" ht="12" customHeight="1" x14ac:dyDescent="0.25"/>
    <row r="224" ht="12" customHeight="1" x14ac:dyDescent="0.25"/>
    <row r="225" ht="12" customHeight="1" x14ac:dyDescent="0.25"/>
    <row r="226" ht="12" customHeight="1" x14ac:dyDescent="0.25"/>
    <row r="227" ht="12" customHeight="1" x14ac:dyDescent="0.25"/>
    <row r="228" ht="12" customHeight="1" x14ac:dyDescent="0.25"/>
    <row r="229" ht="12" customHeight="1" x14ac:dyDescent="0.25"/>
    <row r="230" ht="12" customHeight="1" x14ac:dyDescent="0.25"/>
    <row r="231" ht="12" customHeight="1" x14ac:dyDescent="0.25"/>
    <row r="232" ht="12" customHeight="1" x14ac:dyDescent="0.25"/>
    <row r="233" ht="12" customHeight="1" x14ac:dyDescent="0.25"/>
    <row r="234" ht="12" customHeight="1" x14ac:dyDescent="0.25"/>
    <row r="235" ht="12" customHeight="1" x14ac:dyDescent="0.25"/>
    <row r="236" ht="12" customHeight="1" x14ac:dyDescent="0.25"/>
    <row r="237" ht="12" customHeight="1" x14ac:dyDescent="0.25"/>
    <row r="238" ht="12" customHeight="1" x14ac:dyDescent="0.25"/>
    <row r="239" ht="12" customHeight="1" x14ac:dyDescent="0.25"/>
    <row r="240" ht="12" customHeight="1" x14ac:dyDescent="0.25"/>
    <row r="241" ht="12" customHeight="1" x14ac:dyDescent="0.25"/>
    <row r="242" ht="12" customHeight="1" x14ac:dyDescent="0.25"/>
    <row r="243" ht="12" customHeight="1" x14ac:dyDescent="0.25"/>
    <row r="244" ht="12" customHeight="1" x14ac:dyDescent="0.25"/>
    <row r="245" ht="12" customHeight="1" x14ac:dyDescent="0.25"/>
    <row r="246" ht="12" customHeight="1" x14ac:dyDescent="0.25"/>
    <row r="247" ht="12" customHeight="1" x14ac:dyDescent="0.25"/>
    <row r="248" ht="12" customHeight="1" x14ac:dyDescent="0.25"/>
    <row r="249" ht="12" customHeight="1" x14ac:dyDescent="0.25"/>
    <row r="250" ht="12" customHeight="1" x14ac:dyDescent="0.25"/>
    <row r="251" ht="12" customHeight="1" x14ac:dyDescent="0.25"/>
    <row r="252" ht="12" customHeight="1" x14ac:dyDescent="0.25"/>
    <row r="253" ht="12" customHeight="1" x14ac:dyDescent="0.25"/>
    <row r="254" ht="12" customHeight="1" x14ac:dyDescent="0.25"/>
    <row r="255" ht="12" customHeight="1" x14ac:dyDescent="0.25"/>
    <row r="256" ht="12" customHeight="1" x14ac:dyDescent="0.25"/>
    <row r="257" ht="12" customHeight="1" x14ac:dyDescent="0.25"/>
    <row r="258" ht="12" customHeight="1" x14ac:dyDescent="0.25"/>
    <row r="259" ht="12" customHeight="1" x14ac:dyDescent="0.25"/>
    <row r="260" ht="12" customHeight="1" x14ac:dyDescent="0.25"/>
    <row r="261" ht="12" customHeight="1" x14ac:dyDescent="0.25"/>
    <row r="262" ht="12" customHeight="1" x14ac:dyDescent="0.25"/>
    <row r="263" ht="12" customHeight="1" x14ac:dyDescent="0.25"/>
    <row r="264" ht="12" customHeight="1" x14ac:dyDescent="0.25"/>
    <row r="265" ht="12" customHeight="1" x14ac:dyDescent="0.25"/>
    <row r="266" ht="12" customHeight="1" x14ac:dyDescent="0.25"/>
    <row r="267" ht="12" customHeight="1" x14ac:dyDescent="0.25"/>
    <row r="268" ht="12" customHeight="1" x14ac:dyDescent="0.25"/>
    <row r="269" ht="12" customHeight="1" x14ac:dyDescent="0.25"/>
    <row r="270" ht="12" customHeight="1" x14ac:dyDescent="0.25"/>
    <row r="271" ht="12" customHeight="1" x14ac:dyDescent="0.25"/>
    <row r="272" ht="12" customHeight="1" x14ac:dyDescent="0.25"/>
    <row r="273" ht="12" customHeight="1" x14ac:dyDescent="0.25"/>
    <row r="274" ht="12" customHeight="1" x14ac:dyDescent="0.25"/>
    <row r="275" ht="12" customHeight="1" x14ac:dyDescent="0.25"/>
    <row r="276" ht="12" customHeight="1" x14ac:dyDescent="0.25"/>
    <row r="277" ht="12" customHeight="1" x14ac:dyDescent="0.25"/>
    <row r="278" ht="12" customHeight="1" x14ac:dyDescent="0.25"/>
    <row r="279" ht="12" customHeight="1" x14ac:dyDescent="0.25"/>
    <row r="280" ht="12" customHeight="1" x14ac:dyDescent="0.25"/>
    <row r="281" ht="12" customHeight="1" x14ac:dyDescent="0.25"/>
    <row r="282" ht="12" customHeight="1" x14ac:dyDescent="0.25"/>
    <row r="283" ht="12" customHeight="1" x14ac:dyDescent="0.25"/>
    <row r="284" ht="12" customHeight="1" x14ac:dyDescent="0.25"/>
    <row r="285" ht="12" customHeight="1" x14ac:dyDescent="0.25"/>
    <row r="286" ht="12" customHeight="1" x14ac:dyDescent="0.25"/>
    <row r="287" ht="12" customHeight="1" x14ac:dyDescent="0.25"/>
    <row r="288" ht="12" customHeight="1" x14ac:dyDescent="0.25"/>
    <row r="289" ht="12" customHeight="1" x14ac:dyDescent="0.25"/>
    <row r="290" ht="12" customHeight="1" x14ac:dyDescent="0.25"/>
    <row r="291" ht="12" customHeight="1" x14ac:dyDescent="0.25"/>
    <row r="292" ht="12" customHeight="1" x14ac:dyDescent="0.25"/>
    <row r="293" ht="12" customHeight="1" x14ac:dyDescent="0.25"/>
    <row r="294" ht="12" customHeight="1" x14ac:dyDescent="0.25"/>
    <row r="295" ht="12" customHeight="1" x14ac:dyDescent="0.25"/>
    <row r="296" ht="12" customHeight="1" x14ac:dyDescent="0.25"/>
    <row r="297" ht="12" customHeight="1" x14ac:dyDescent="0.25"/>
    <row r="298" ht="12" customHeight="1" x14ac:dyDescent="0.25"/>
    <row r="299" ht="12" customHeight="1" x14ac:dyDescent="0.25"/>
    <row r="300" ht="12" customHeight="1" x14ac:dyDescent="0.25"/>
    <row r="301" ht="12" customHeight="1" x14ac:dyDescent="0.25"/>
    <row r="302" ht="12" customHeight="1" x14ac:dyDescent="0.25"/>
    <row r="303" ht="12" customHeight="1" x14ac:dyDescent="0.25"/>
    <row r="304" ht="12" customHeight="1" x14ac:dyDescent="0.25"/>
    <row r="305" ht="12" customHeight="1" x14ac:dyDescent="0.25"/>
    <row r="306" ht="12" customHeight="1" x14ac:dyDescent="0.25"/>
    <row r="307" ht="12" customHeight="1" x14ac:dyDescent="0.25"/>
    <row r="308" ht="12" customHeight="1" x14ac:dyDescent="0.25"/>
    <row r="309" ht="12" customHeight="1" x14ac:dyDescent="0.25"/>
    <row r="310" ht="12" customHeight="1" x14ac:dyDescent="0.25"/>
    <row r="311" ht="12" customHeight="1" x14ac:dyDescent="0.25"/>
    <row r="312" ht="12" customHeight="1" x14ac:dyDescent="0.25"/>
    <row r="313" ht="12" customHeight="1" x14ac:dyDescent="0.25"/>
    <row r="314" ht="12" customHeight="1" x14ac:dyDescent="0.25"/>
    <row r="315" ht="12" customHeight="1" x14ac:dyDescent="0.25"/>
    <row r="316" ht="12" customHeight="1" x14ac:dyDescent="0.25"/>
    <row r="317" ht="12" customHeight="1" x14ac:dyDescent="0.25"/>
    <row r="318" ht="12" customHeight="1" x14ac:dyDescent="0.25"/>
    <row r="319" ht="12" customHeight="1" x14ac:dyDescent="0.25"/>
    <row r="320" ht="12" customHeight="1" x14ac:dyDescent="0.25"/>
    <row r="321" ht="12" customHeight="1" x14ac:dyDescent="0.25"/>
    <row r="322" ht="12" customHeight="1" x14ac:dyDescent="0.25"/>
    <row r="323" ht="12" customHeight="1" x14ac:dyDescent="0.25"/>
    <row r="324" ht="12" customHeight="1" x14ac:dyDescent="0.25"/>
    <row r="325" ht="12" customHeight="1" x14ac:dyDescent="0.25"/>
    <row r="326" ht="12" customHeight="1" x14ac:dyDescent="0.25"/>
    <row r="327" ht="12" customHeight="1" x14ac:dyDescent="0.25"/>
    <row r="328" ht="12" customHeight="1" x14ac:dyDescent="0.25"/>
    <row r="329" ht="12" customHeight="1" x14ac:dyDescent="0.25"/>
    <row r="330" ht="12" customHeight="1" x14ac:dyDescent="0.25"/>
    <row r="331" ht="12" customHeight="1" x14ac:dyDescent="0.25"/>
    <row r="332" ht="12" customHeight="1" x14ac:dyDescent="0.25"/>
    <row r="333" ht="12" customHeight="1" x14ac:dyDescent="0.25"/>
    <row r="334" ht="12" customHeight="1" x14ac:dyDescent="0.25"/>
    <row r="335" ht="12" customHeight="1" x14ac:dyDescent="0.25"/>
    <row r="336" ht="12" customHeight="1" x14ac:dyDescent="0.25"/>
    <row r="337" ht="12" customHeight="1" x14ac:dyDescent="0.25"/>
    <row r="338" ht="12" customHeight="1" x14ac:dyDescent="0.25"/>
    <row r="339" ht="12" customHeight="1" x14ac:dyDescent="0.25"/>
    <row r="340" ht="12" customHeight="1" x14ac:dyDescent="0.25"/>
    <row r="341" ht="12" customHeight="1" x14ac:dyDescent="0.25"/>
    <row r="342" ht="12" customHeight="1" x14ac:dyDescent="0.25"/>
    <row r="343" ht="12" customHeight="1" x14ac:dyDescent="0.25"/>
    <row r="344" ht="12" customHeight="1" x14ac:dyDescent="0.25"/>
    <row r="345" ht="12" customHeight="1" x14ac:dyDescent="0.25"/>
    <row r="346" ht="12" customHeight="1" x14ac:dyDescent="0.25"/>
    <row r="347" ht="12" customHeight="1" x14ac:dyDescent="0.25"/>
    <row r="348" ht="12" customHeight="1" x14ac:dyDescent="0.25"/>
    <row r="349" ht="12" customHeight="1" x14ac:dyDescent="0.25"/>
    <row r="350" ht="12" customHeight="1" x14ac:dyDescent="0.25"/>
    <row r="351" ht="12" customHeight="1" x14ac:dyDescent="0.25"/>
    <row r="352" ht="12" customHeight="1" x14ac:dyDescent="0.25"/>
    <row r="353" ht="12" customHeight="1" x14ac:dyDescent="0.25"/>
    <row r="354" ht="12" customHeight="1" x14ac:dyDescent="0.25"/>
    <row r="355" ht="12" customHeight="1" x14ac:dyDescent="0.25"/>
    <row r="356" ht="12" customHeight="1" x14ac:dyDescent="0.25"/>
    <row r="357" ht="12" customHeight="1" x14ac:dyDescent="0.25"/>
    <row r="358" ht="12" customHeight="1" x14ac:dyDescent="0.25"/>
    <row r="359" ht="12" customHeight="1" x14ac:dyDescent="0.25"/>
    <row r="360" ht="12" customHeight="1" x14ac:dyDescent="0.25"/>
    <row r="361" ht="12" customHeight="1" x14ac:dyDescent="0.25"/>
    <row r="362" ht="12" customHeight="1" x14ac:dyDescent="0.25"/>
    <row r="363" ht="12" customHeight="1" x14ac:dyDescent="0.25"/>
    <row r="364" ht="12" customHeight="1" x14ac:dyDescent="0.25"/>
    <row r="365" ht="12" customHeight="1" x14ac:dyDescent="0.25"/>
    <row r="366" ht="12" customHeight="1" x14ac:dyDescent="0.25"/>
    <row r="367" ht="12" customHeight="1" x14ac:dyDescent="0.25"/>
    <row r="368" ht="12" customHeight="1" x14ac:dyDescent="0.25"/>
    <row r="369" ht="12" customHeight="1" x14ac:dyDescent="0.25"/>
    <row r="370" ht="12" customHeight="1" x14ac:dyDescent="0.25"/>
    <row r="371" ht="12" customHeight="1" x14ac:dyDescent="0.25"/>
    <row r="372" ht="12" customHeight="1" x14ac:dyDescent="0.25"/>
    <row r="373" ht="12" customHeight="1" x14ac:dyDescent="0.25"/>
    <row r="374" ht="12" customHeight="1" x14ac:dyDescent="0.25"/>
    <row r="375" ht="12" customHeight="1" x14ac:dyDescent="0.25"/>
    <row r="376" ht="12" customHeight="1" x14ac:dyDescent="0.25"/>
    <row r="377" ht="12" customHeight="1" x14ac:dyDescent="0.25"/>
    <row r="378" ht="12" customHeight="1" x14ac:dyDescent="0.25"/>
    <row r="379" ht="12" customHeight="1" x14ac:dyDescent="0.25"/>
    <row r="380" ht="12" customHeight="1" x14ac:dyDescent="0.25"/>
    <row r="381" ht="12" customHeight="1" x14ac:dyDescent="0.25"/>
    <row r="382" ht="12" customHeight="1" x14ac:dyDescent="0.25"/>
    <row r="383" ht="12" customHeight="1" x14ac:dyDescent="0.25"/>
    <row r="384" ht="12" customHeight="1" x14ac:dyDescent="0.25"/>
    <row r="385" ht="12" customHeight="1" x14ac:dyDescent="0.25"/>
    <row r="386" ht="12" customHeight="1" x14ac:dyDescent="0.25"/>
    <row r="387" ht="12" customHeight="1" x14ac:dyDescent="0.25"/>
    <row r="388" ht="12" customHeight="1" x14ac:dyDescent="0.25"/>
    <row r="389" ht="12" customHeight="1" x14ac:dyDescent="0.25"/>
    <row r="390" ht="12" customHeight="1" x14ac:dyDescent="0.25"/>
    <row r="391" ht="12" customHeight="1" x14ac:dyDescent="0.25"/>
    <row r="392" ht="12" customHeight="1" x14ac:dyDescent="0.25"/>
    <row r="393" ht="12" customHeight="1" x14ac:dyDescent="0.25"/>
    <row r="394" ht="12" customHeight="1" x14ac:dyDescent="0.25"/>
    <row r="395" ht="12" customHeight="1" x14ac:dyDescent="0.25"/>
    <row r="396" ht="12" customHeight="1" x14ac:dyDescent="0.25"/>
    <row r="397" ht="12" customHeight="1" x14ac:dyDescent="0.25"/>
    <row r="398" ht="12" customHeight="1" x14ac:dyDescent="0.25"/>
    <row r="399" ht="12" customHeight="1" x14ac:dyDescent="0.25"/>
    <row r="400" ht="12" customHeight="1" x14ac:dyDescent="0.25"/>
    <row r="401" ht="12" customHeight="1" x14ac:dyDescent="0.25"/>
    <row r="402" ht="12" customHeight="1" x14ac:dyDescent="0.25"/>
    <row r="403" ht="12" customHeight="1" x14ac:dyDescent="0.25"/>
    <row r="404" ht="12" customHeight="1" x14ac:dyDescent="0.25"/>
    <row r="405" ht="12" customHeight="1" x14ac:dyDescent="0.25"/>
    <row r="406" ht="12" customHeight="1" x14ac:dyDescent="0.25"/>
    <row r="407" ht="12" customHeight="1" x14ac:dyDescent="0.25"/>
    <row r="408" ht="12" customHeight="1" x14ac:dyDescent="0.25"/>
    <row r="409" ht="12" customHeight="1" x14ac:dyDescent="0.25"/>
    <row r="410" ht="12" customHeight="1" x14ac:dyDescent="0.25"/>
    <row r="411" ht="12" customHeight="1" x14ac:dyDescent="0.25"/>
    <row r="412" ht="12" customHeight="1" x14ac:dyDescent="0.25"/>
    <row r="413" ht="12" customHeight="1" x14ac:dyDescent="0.25"/>
    <row r="414" ht="12" customHeight="1" x14ac:dyDescent="0.25"/>
    <row r="415" ht="12" customHeight="1" x14ac:dyDescent="0.25"/>
    <row r="416" ht="12" customHeight="1" x14ac:dyDescent="0.25"/>
    <row r="417" ht="12" customHeight="1" x14ac:dyDescent="0.25"/>
    <row r="418" ht="12" customHeight="1" x14ac:dyDescent="0.25"/>
    <row r="419" ht="12" customHeight="1" x14ac:dyDescent="0.25"/>
    <row r="420" ht="12" customHeight="1" x14ac:dyDescent="0.25"/>
    <row r="421" ht="12" customHeight="1" x14ac:dyDescent="0.25"/>
    <row r="422" ht="12" customHeight="1" x14ac:dyDescent="0.25"/>
    <row r="423" ht="12" customHeight="1" x14ac:dyDescent="0.25"/>
    <row r="424" ht="12" customHeight="1" x14ac:dyDescent="0.25"/>
    <row r="425" ht="12" customHeight="1" x14ac:dyDescent="0.25"/>
    <row r="426" ht="12" customHeight="1" x14ac:dyDescent="0.25"/>
    <row r="427" ht="12" customHeight="1" x14ac:dyDescent="0.25"/>
    <row r="428" ht="12" customHeight="1" x14ac:dyDescent="0.25"/>
    <row r="429" ht="12" customHeight="1" x14ac:dyDescent="0.25"/>
    <row r="430" ht="12" customHeight="1" x14ac:dyDescent="0.25"/>
    <row r="431" ht="12" customHeight="1" x14ac:dyDescent="0.25"/>
    <row r="432" ht="12" customHeight="1" x14ac:dyDescent="0.25"/>
    <row r="433" ht="12" customHeight="1" x14ac:dyDescent="0.25"/>
    <row r="434" ht="12" customHeight="1" x14ac:dyDescent="0.25"/>
    <row r="435" ht="12" customHeight="1" x14ac:dyDescent="0.25"/>
    <row r="436" ht="12" customHeight="1" x14ac:dyDescent="0.25"/>
    <row r="437" ht="12" customHeight="1" x14ac:dyDescent="0.25"/>
    <row r="438" ht="12" customHeight="1" x14ac:dyDescent="0.25"/>
    <row r="439" ht="12" customHeight="1" x14ac:dyDescent="0.25"/>
    <row r="440" ht="12" customHeight="1" x14ac:dyDescent="0.25"/>
    <row r="441" ht="12" customHeight="1" x14ac:dyDescent="0.25"/>
    <row r="442" ht="12" customHeight="1" x14ac:dyDescent="0.25"/>
    <row r="443" ht="12" customHeight="1" x14ac:dyDescent="0.25"/>
    <row r="444" ht="12" customHeight="1" x14ac:dyDescent="0.25"/>
    <row r="445" ht="12" customHeight="1" x14ac:dyDescent="0.25"/>
    <row r="446" ht="12" customHeight="1" x14ac:dyDescent="0.25"/>
    <row r="447" ht="12" customHeight="1" x14ac:dyDescent="0.25"/>
    <row r="448" ht="12" customHeight="1" x14ac:dyDescent="0.25"/>
    <row r="449" ht="12" customHeight="1" x14ac:dyDescent="0.25"/>
    <row r="450" ht="12" customHeight="1" x14ac:dyDescent="0.25"/>
    <row r="451" ht="12" customHeight="1" x14ac:dyDescent="0.25"/>
    <row r="452" ht="12" customHeight="1" x14ac:dyDescent="0.25"/>
    <row r="453" ht="12" customHeight="1" x14ac:dyDescent="0.25"/>
    <row r="454" ht="12" customHeight="1" x14ac:dyDescent="0.25"/>
    <row r="455" ht="12" customHeight="1" x14ac:dyDescent="0.25"/>
    <row r="456" ht="12" customHeight="1" x14ac:dyDescent="0.25"/>
    <row r="457" ht="12" customHeight="1" x14ac:dyDescent="0.25"/>
    <row r="458" ht="12" customHeight="1" x14ac:dyDescent="0.25"/>
    <row r="459" ht="12" customHeight="1" x14ac:dyDescent="0.25"/>
    <row r="460" ht="12" customHeight="1" x14ac:dyDescent="0.25"/>
    <row r="461" ht="12" customHeight="1" x14ac:dyDescent="0.25"/>
    <row r="462" ht="12" customHeight="1" x14ac:dyDescent="0.25"/>
    <row r="463" ht="12" customHeight="1" x14ac:dyDescent="0.25"/>
    <row r="464" ht="12" customHeight="1" x14ac:dyDescent="0.25"/>
    <row r="465" ht="12" customHeight="1" x14ac:dyDescent="0.25"/>
    <row r="466" ht="12" customHeight="1" x14ac:dyDescent="0.25"/>
    <row r="467" ht="12" customHeight="1" x14ac:dyDescent="0.25"/>
    <row r="468" ht="12" customHeight="1" x14ac:dyDescent="0.25"/>
    <row r="469" ht="12" customHeight="1" x14ac:dyDescent="0.25"/>
    <row r="470" ht="12" customHeight="1" x14ac:dyDescent="0.25"/>
    <row r="471" ht="12" customHeight="1" x14ac:dyDescent="0.25"/>
    <row r="472" ht="12" customHeight="1" x14ac:dyDescent="0.25"/>
    <row r="473" ht="12" customHeight="1" x14ac:dyDescent="0.25"/>
    <row r="474" ht="12" customHeight="1" x14ac:dyDescent="0.25"/>
    <row r="475" ht="12" customHeight="1" x14ac:dyDescent="0.25"/>
    <row r="476" ht="12" customHeight="1" x14ac:dyDescent="0.25"/>
    <row r="477" ht="12" customHeight="1" x14ac:dyDescent="0.25"/>
    <row r="478" ht="12" customHeight="1" x14ac:dyDescent="0.25"/>
    <row r="479" ht="12" customHeight="1" x14ac:dyDescent="0.25"/>
    <row r="480" ht="12" customHeight="1" x14ac:dyDescent="0.25"/>
    <row r="481" ht="12" customHeight="1" x14ac:dyDescent="0.25"/>
    <row r="482" ht="12" customHeight="1" x14ac:dyDescent="0.25"/>
    <row r="483" ht="12" customHeight="1" x14ac:dyDescent="0.25"/>
    <row r="484" ht="12" customHeight="1" x14ac:dyDescent="0.25"/>
    <row r="485" ht="12" customHeight="1" x14ac:dyDescent="0.25"/>
    <row r="486" ht="12" customHeight="1" x14ac:dyDescent="0.25"/>
    <row r="487" ht="12" customHeight="1" x14ac:dyDescent="0.25"/>
    <row r="488" ht="12" customHeight="1" x14ac:dyDescent="0.25"/>
    <row r="489" ht="12" customHeight="1" x14ac:dyDescent="0.25"/>
    <row r="490" ht="12" customHeight="1" x14ac:dyDescent="0.25"/>
    <row r="491" ht="12" customHeight="1" x14ac:dyDescent="0.25"/>
    <row r="492" ht="12" customHeight="1" x14ac:dyDescent="0.25"/>
    <row r="493" ht="12" customHeight="1" x14ac:dyDescent="0.25"/>
    <row r="494" ht="12" customHeight="1" x14ac:dyDescent="0.25"/>
    <row r="495" ht="12" customHeight="1" x14ac:dyDescent="0.25"/>
    <row r="496" ht="12" customHeight="1" x14ac:dyDescent="0.25"/>
    <row r="497" ht="12" customHeight="1" x14ac:dyDescent="0.25"/>
    <row r="498" ht="12" customHeight="1" x14ac:dyDescent="0.25"/>
    <row r="499" ht="12" customHeight="1" x14ac:dyDescent="0.25"/>
    <row r="500" ht="12" customHeight="1" x14ac:dyDescent="0.25"/>
    <row r="501" ht="12" customHeight="1" x14ac:dyDescent="0.25"/>
    <row r="502" ht="12" customHeight="1" x14ac:dyDescent="0.25"/>
    <row r="503" ht="12" customHeight="1" x14ac:dyDescent="0.25"/>
    <row r="504" ht="12" customHeight="1" x14ac:dyDescent="0.25"/>
    <row r="505" ht="12" customHeight="1" x14ac:dyDescent="0.25"/>
    <row r="506" ht="12" customHeight="1" x14ac:dyDescent="0.25"/>
    <row r="507" ht="12" customHeight="1" x14ac:dyDescent="0.25"/>
    <row r="508" ht="12" customHeight="1" x14ac:dyDescent="0.25"/>
    <row r="509" ht="12" customHeight="1" x14ac:dyDescent="0.25"/>
    <row r="510" ht="12" customHeight="1" x14ac:dyDescent="0.25"/>
    <row r="511" ht="12" customHeight="1" x14ac:dyDescent="0.25"/>
    <row r="512" ht="12" customHeight="1" x14ac:dyDescent="0.25"/>
    <row r="513" ht="12" customHeight="1" x14ac:dyDescent="0.25"/>
    <row r="514" ht="12" customHeight="1" x14ac:dyDescent="0.25"/>
    <row r="515" ht="12" customHeight="1" x14ac:dyDescent="0.25"/>
    <row r="516" ht="12" customHeight="1" x14ac:dyDescent="0.25"/>
    <row r="517" ht="12" customHeight="1" x14ac:dyDescent="0.25"/>
    <row r="518" ht="12" customHeight="1" x14ac:dyDescent="0.25"/>
    <row r="519" ht="12" customHeight="1" x14ac:dyDescent="0.25"/>
    <row r="520" ht="12" customHeight="1" x14ac:dyDescent="0.25"/>
    <row r="521" ht="12" customHeight="1" x14ac:dyDescent="0.25"/>
    <row r="522" ht="12" customHeight="1" x14ac:dyDescent="0.25"/>
    <row r="523" ht="12" customHeight="1" x14ac:dyDescent="0.25"/>
    <row r="524" ht="12" customHeight="1" x14ac:dyDescent="0.25"/>
    <row r="525" ht="12" customHeight="1" x14ac:dyDescent="0.25"/>
    <row r="526" ht="12" customHeight="1" x14ac:dyDescent="0.25"/>
    <row r="527" ht="12" customHeight="1" x14ac:dyDescent="0.25"/>
    <row r="528" ht="12" customHeight="1" x14ac:dyDescent="0.25"/>
    <row r="529" ht="12" customHeight="1" x14ac:dyDescent="0.25"/>
    <row r="530" ht="12" customHeight="1" x14ac:dyDescent="0.25"/>
    <row r="531" ht="12" customHeight="1" x14ac:dyDescent="0.25"/>
    <row r="532" ht="12" customHeight="1" x14ac:dyDescent="0.25"/>
    <row r="533" ht="12" customHeight="1" x14ac:dyDescent="0.25"/>
    <row r="534" ht="12" customHeight="1" x14ac:dyDescent="0.25"/>
    <row r="535" ht="12" customHeight="1" x14ac:dyDescent="0.25"/>
    <row r="536" ht="12" customHeight="1" x14ac:dyDescent="0.25"/>
    <row r="537" ht="12" customHeight="1" x14ac:dyDescent="0.25"/>
    <row r="538" ht="12" customHeight="1" x14ac:dyDescent="0.25"/>
    <row r="539" ht="12" customHeight="1" x14ac:dyDescent="0.25"/>
    <row r="540" ht="12" customHeight="1" x14ac:dyDescent="0.25"/>
    <row r="541" ht="12" customHeight="1" x14ac:dyDescent="0.25"/>
    <row r="542" ht="12" customHeight="1" x14ac:dyDescent="0.25"/>
    <row r="543" ht="12" customHeight="1" x14ac:dyDescent="0.25"/>
    <row r="544" ht="12" customHeight="1" x14ac:dyDescent="0.25"/>
    <row r="545" ht="12" customHeight="1" x14ac:dyDescent="0.25"/>
    <row r="546" ht="12" customHeight="1" x14ac:dyDescent="0.25"/>
    <row r="547" ht="12" customHeight="1" x14ac:dyDescent="0.25"/>
    <row r="548" ht="12" customHeight="1" x14ac:dyDescent="0.25"/>
    <row r="549" ht="12" customHeight="1" x14ac:dyDescent="0.25"/>
    <row r="550" ht="12" customHeight="1" x14ac:dyDescent="0.25"/>
    <row r="551" ht="12" customHeight="1" x14ac:dyDescent="0.25"/>
    <row r="552" ht="12" customHeight="1" x14ac:dyDescent="0.25"/>
    <row r="553" ht="12" customHeight="1" x14ac:dyDescent="0.25"/>
    <row r="554" ht="12" customHeight="1" x14ac:dyDescent="0.25"/>
    <row r="555" ht="12" customHeight="1" x14ac:dyDescent="0.25"/>
    <row r="556" ht="12" customHeight="1" x14ac:dyDescent="0.25"/>
    <row r="557" ht="12" customHeight="1" x14ac:dyDescent="0.25"/>
    <row r="558" ht="12" customHeight="1" x14ac:dyDescent="0.25"/>
    <row r="559" ht="12" customHeight="1" x14ac:dyDescent="0.25"/>
    <row r="560" ht="12" customHeight="1" x14ac:dyDescent="0.25"/>
    <row r="561" ht="12" customHeight="1" x14ac:dyDescent="0.25"/>
    <row r="562" ht="12" customHeight="1" x14ac:dyDescent="0.25"/>
    <row r="563" ht="12" customHeight="1" x14ac:dyDescent="0.25"/>
    <row r="564" ht="12" customHeight="1" x14ac:dyDescent="0.25"/>
    <row r="565" ht="12" customHeight="1" x14ac:dyDescent="0.25"/>
    <row r="566" ht="12" customHeight="1" x14ac:dyDescent="0.25"/>
    <row r="567" ht="12" customHeight="1" x14ac:dyDescent="0.25"/>
    <row r="568" ht="12" customHeight="1" x14ac:dyDescent="0.25"/>
    <row r="569" ht="12" customHeight="1" x14ac:dyDescent="0.25"/>
    <row r="570" ht="12" customHeight="1" x14ac:dyDescent="0.25"/>
    <row r="571" ht="12" customHeight="1" x14ac:dyDescent="0.25"/>
    <row r="572" ht="12" customHeight="1" x14ac:dyDescent="0.25"/>
    <row r="573" ht="12" customHeight="1" x14ac:dyDescent="0.25"/>
    <row r="574" ht="12" customHeight="1" x14ac:dyDescent="0.25"/>
    <row r="575" ht="12" customHeight="1" x14ac:dyDescent="0.25"/>
    <row r="576" ht="12" customHeight="1" x14ac:dyDescent="0.25"/>
    <row r="577" ht="12" customHeight="1" x14ac:dyDescent="0.25"/>
    <row r="578" ht="12" customHeight="1" x14ac:dyDescent="0.25"/>
    <row r="579" ht="12" customHeight="1" x14ac:dyDescent="0.25"/>
    <row r="580" ht="12" customHeight="1" x14ac:dyDescent="0.25"/>
    <row r="581" ht="12" customHeight="1" x14ac:dyDescent="0.25"/>
    <row r="582" ht="12" customHeight="1" x14ac:dyDescent="0.25"/>
    <row r="583" ht="12" customHeight="1" x14ac:dyDescent="0.25"/>
    <row r="584" ht="12" customHeight="1" x14ac:dyDescent="0.25"/>
    <row r="585" ht="12" customHeight="1" x14ac:dyDescent="0.25"/>
    <row r="586" ht="12" customHeight="1" x14ac:dyDescent="0.25"/>
    <row r="587" ht="12" customHeight="1" x14ac:dyDescent="0.25"/>
    <row r="588" ht="12" customHeight="1" x14ac:dyDescent="0.25"/>
    <row r="589" ht="12" customHeight="1" x14ac:dyDescent="0.25"/>
    <row r="590" ht="12" customHeight="1" x14ac:dyDescent="0.25"/>
    <row r="591" ht="12" customHeight="1" x14ac:dyDescent="0.25"/>
    <row r="592" ht="12" customHeight="1" x14ac:dyDescent="0.25"/>
    <row r="593" ht="12" customHeight="1" x14ac:dyDescent="0.25"/>
    <row r="594" ht="12" customHeight="1" x14ac:dyDescent="0.25"/>
    <row r="595" ht="12" customHeight="1" x14ac:dyDescent="0.25"/>
    <row r="596" ht="12" customHeight="1" x14ac:dyDescent="0.25"/>
    <row r="597" ht="12" customHeight="1" x14ac:dyDescent="0.25"/>
    <row r="598" ht="12" customHeight="1" x14ac:dyDescent="0.25"/>
    <row r="599" ht="12" customHeight="1" x14ac:dyDescent="0.25"/>
    <row r="600" ht="12" customHeight="1" x14ac:dyDescent="0.25"/>
    <row r="601" ht="12" customHeight="1" x14ac:dyDescent="0.25"/>
    <row r="602" ht="12" customHeight="1" x14ac:dyDescent="0.25"/>
    <row r="603" ht="12" customHeight="1" x14ac:dyDescent="0.25"/>
    <row r="604" ht="12" customHeight="1" x14ac:dyDescent="0.25"/>
    <row r="605" ht="12" customHeight="1" x14ac:dyDescent="0.25"/>
    <row r="606" ht="12" customHeight="1" x14ac:dyDescent="0.25"/>
    <row r="607" ht="12" customHeight="1" x14ac:dyDescent="0.25"/>
    <row r="608" ht="12" customHeight="1" x14ac:dyDescent="0.25"/>
    <row r="609" ht="12" customHeight="1" x14ac:dyDescent="0.25"/>
    <row r="610" ht="12" customHeight="1" x14ac:dyDescent="0.25"/>
    <row r="611" ht="12" customHeight="1" x14ac:dyDescent="0.25"/>
    <row r="612" ht="12" customHeight="1" x14ac:dyDescent="0.25"/>
    <row r="613" ht="12" customHeight="1" x14ac:dyDescent="0.25"/>
    <row r="614" ht="12" customHeight="1" x14ac:dyDescent="0.25"/>
    <row r="615" ht="12" customHeight="1" x14ac:dyDescent="0.25"/>
    <row r="616" ht="12" customHeight="1" x14ac:dyDescent="0.25"/>
    <row r="617" ht="12" customHeight="1" x14ac:dyDescent="0.25"/>
    <row r="618" ht="12" customHeight="1" x14ac:dyDescent="0.25"/>
    <row r="619" ht="12" customHeight="1" x14ac:dyDescent="0.25"/>
    <row r="620" ht="12" customHeight="1" x14ac:dyDescent="0.25"/>
    <row r="621" ht="12" customHeight="1" x14ac:dyDescent="0.25"/>
    <row r="622" ht="12" customHeight="1" x14ac:dyDescent="0.25"/>
    <row r="623" ht="12" customHeight="1" x14ac:dyDescent="0.25"/>
    <row r="624" ht="12" customHeight="1" x14ac:dyDescent="0.25"/>
    <row r="625" ht="12" customHeight="1" x14ac:dyDescent="0.25"/>
    <row r="626" ht="12" customHeight="1" x14ac:dyDescent="0.25"/>
    <row r="627" ht="12" customHeight="1" x14ac:dyDescent="0.25"/>
    <row r="628" ht="12" customHeight="1" x14ac:dyDescent="0.25"/>
    <row r="629" ht="12" customHeight="1" x14ac:dyDescent="0.25"/>
    <row r="630" ht="12" customHeight="1" x14ac:dyDescent="0.25"/>
    <row r="631" ht="12" customHeight="1" x14ac:dyDescent="0.25"/>
    <row r="632" ht="12" customHeight="1" x14ac:dyDescent="0.25"/>
    <row r="633" ht="12" customHeight="1" x14ac:dyDescent="0.25"/>
    <row r="634" ht="12" customHeight="1" x14ac:dyDescent="0.25"/>
    <row r="635" ht="12" customHeight="1" x14ac:dyDescent="0.25"/>
    <row r="636" ht="12" customHeight="1" x14ac:dyDescent="0.25"/>
    <row r="637" ht="12" customHeight="1" x14ac:dyDescent="0.25"/>
    <row r="638" ht="12" customHeight="1" x14ac:dyDescent="0.25"/>
    <row r="639" ht="12" customHeight="1" x14ac:dyDescent="0.25"/>
    <row r="640" ht="12" customHeight="1" x14ac:dyDescent="0.25"/>
    <row r="641" ht="12" customHeight="1" x14ac:dyDescent="0.25"/>
    <row r="642" ht="12" customHeight="1" x14ac:dyDescent="0.25"/>
    <row r="643" ht="12" customHeight="1" x14ac:dyDescent="0.25"/>
    <row r="644" ht="12" customHeight="1" x14ac:dyDescent="0.25"/>
    <row r="645" ht="12" customHeight="1" x14ac:dyDescent="0.25"/>
    <row r="646" ht="12" customHeight="1" x14ac:dyDescent="0.25"/>
    <row r="647" ht="12" customHeight="1" x14ac:dyDescent="0.25"/>
    <row r="648" ht="12" customHeight="1" x14ac:dyDescent="0.25"/>
    <row r="649" ht="12" customHeight="1" x14ac:dyDescent="0.25"/>
    <row r="650" ht="12" customHeight="1" x14ac:dyDescent="0.25"/>
    <row r="651" ht="12" customHeight="1" x14ac:dyDescent="0.25"/>
    <row r="652" ht="12" customHeight="1" x14ac:dyDescent="0.25"/>
    <row r="653" ht="12" customHeight="1" x14ac:dyDescent="0.25"/>
    <row r="654" ht="12" customHeight="1" x14ac:dyDescent="0.25"/>
    <row r="655" ht="12" customHeight="1" x14ac:dyDescent="0.25"/>
    <row r="656" ht="12" customHeight="1" x14ac:dyDescent="0.25"/>
    <row r="657" ht="12" customHeight="1" x14ac:dyDescent="0.25"/>
    <row r="658" ht="12" customHeight="1" x14ac:dyDescent="0.25"/>
    <row r="659" ht="12" customHeight="1" x14ac:dyDescent="0.25"/>
    <row r="660" ht="12" customHeight="1" x14ac:dyDescent="0.25"/>
    <row r="661" ht="12" customHeight="1" x14ac:dyDescent="0.25"/>
    <row r="662" ht="12" customHeight="1" x14ac:dyDescent="0.25"/>
    <row r="663" ht="12" customHeight="1" x14ac:dyDescent="0.25"/>
    <row r="664" ht="12" customHeight="1" x14ac:dyDescent="0.25"/>
    <row r="665" ht="12" customHeight="1" x14ac:dyDescent="0.25"/>
    <row r="666" ht="12" customHeight="1" x14ac:dyDescent="0.25"/>
    <row r="667" ht="12" customHeight="1" x14ac:dyDescent="0.25"/>
    <row r="668" ht="12" customHeight="1" x14ac:dyDescent="0.25"/>
    <row r="669" ht="12" customHeight="1" x14ac:dyDescent="0.25"/>
    <row r="670" ht="12" customHeight="1" x14ac:dyDescent="0.25"/>
    <row r="671" ht="12" customHeight="1" x14ac:dyDescent="0.25"/>
    <row r="672" ht="12" customHeight="1" x14ac:dyDescent="0.25"/>
    <row r="673" ht="12" customHeight="1" x14ac:dyDescent="0.25"/>
    <row r="674" ht="12" customHeight="1" x14ac:dyDescent="0.25"/>
    <row r="675" ht="12" customHeight="1" x14ac:dyDescent="0.25"/>
    <row r="676" ht="12" customHeight="1" x14ac:dyDescent="0.25"/>
    <row r="677" ht="12" customHeight="1" x14ac:dyDescent="0.25"/>
    <row r="678" ht="12" customHeight="1" x14ac:dyDescent="0.25"/>
    <row r="679" ht="12" customHeight="1" x14ac:dyDescent="0.25"/>
    <row r="680" ht="12" customHeight="1" x14ac:dyDescent="0.25"/>
    <row r="681" ht="12" customHeight="1" x14ac:dyDescent="0.25"/>
    <row r="682" ht="12" customHeight="1" x14ac:dyDescent="0.25"/>
    <row r="683" ht="12" customHeight="1" x14ac:dyDescent="0.25"/>
    <row r="684" ht="12" customHeight="1" x14ac:dyDescent="0.25"/>
    <row r="685" ht="12" customHeight="1" x14ac:dyDescent="0.25"/>
    <row r="686" ht="12" customHeight="1" x14ac:dyDescent="0.25"/>
    <row r="687" ht="12" customHeight="1" x14ac:dyDescent="0.25"/>
    <row r="688" ht="12" customHeight="1" x14ac:dyDescent="0.25"/>
    <row r="689" ht="12" customHeight="1" x14ac:dyDescent="0.25"/>
    <row r="690" ht="12" customHeight="1" x14ac:dyDescent="0.25"/>
    <row r="691" ht="12" customHeight="1" x14ac:dyDescent="0.25"/>
    <row r="692" ht="12" customHeight="1" x14ac:dyDescent="0.25"/>
    <row r="693" ht="12" customHeight="1" x14ac:dyDescent="0.25"/>
    <row r="694" ht="12" customHeight="1" x14ac:dyDescent="0.25"/>
    <row r="695" ht="12" customHeight="1" x14ac:dyDescent="0.25"/>
    <row r="696" ht="12" customHeight="1" x14ac:dyDescent="0.25"/>
    <row r="697" ht="12" customHeight="1" x14ac:dyDescent="0.25"/>
    <row r="698" ht="12" customHeight="1" x14ac:dyDescent="0.25"/>
    <row r="699" ht="12" customHeight="1" x14ac:dyDescent="0.25"/>
    <row r="700" ht="12" customHeight="1" x14ac:dyDescent="0.25"/>
    <row r="701" ht="12" customHeight="1" x14ac:dyDescent="0.25"/>
    <row r="702" ht="12" customHeight="1" x14ac:dyDescent="0.25"/>
    <row r="703" ht="12" customHeight="1" x14ac:dyDescent="0.25"/>
    <row r="704" ht="12" customHeight="1" x14ac:dyDescent="0.25"/>
    <row r="705" ht="12" customHeight="1" x14ac:dyDescent="0.25"/>
    <row r="706" ht="12" customHeight="1" x14ac:dyDescent="0.25"/>
    <row r="707" ht="12" customHeight="1" x14ac:dyDescent="0.25"/>
    <row r="708" ht="12" customHeight="1" x14ac:dyDescent="0.25"/>
    <row r="709" ht="12" customHeight="1" x14ac:dyDescent="0.25"/>
    <row r="710" ht="12" customHeight="1" x14ac:dyDescent="0.25"/>
    <row r="711" ht="12" customHeight="1" x14ac:dyDescent="0.25"/>
    <row r="712" ht="12" customHeight="1" x14ac:dyDescent="0.25"/>
    <row r="713" ht="12" customHeight="1" x14ac:dyDescent="0.25"/>
    <row r="714" ht="12" customHeight="1" x14ac:dyDescent="0.25"/>
    <row r="715" ht="12" customHeight="1" x14ac:dyDescent="0.25"/>
    <row r="716" ht="12" customHeight="1" x14ac:dyDescent="0.25"/>
    <row r="717" ht="12" customHeight="1" x14ac:dyDescent="0.25"/>
    <row r="718" ht="12" customHeight="1" x14ac:dyDescent="0.25"/>
    <row r="719" ht="12" customHeight="1" x14ac:dyDescent="0.25"/>
    <row r="720" ht="12" customHeight="1" x14ac:dyDescent="0.25"/>
    <row r="721" ht="12" customHeight="1" x14ac:dyDescent="0.25"/>
    <row r="722" ht="12" customHeight="1" x14ac:dyDescent="0.25"/>
    <row r="723" ht="12" customHeight="1" x14ac:dyDescent="0.25"/>
    <row r="724" ht="12" customHeight="1" x14ac:dyDescent="0.25"/>
    <row r="725" ht="12" customHeight="1" x14ac:dyDescent="0.25"/>
    <row r="726" ht="12" customHeight="1" x14ac:dyDescent="0.25"/>
    <row r="727" ht="12" customHeight="1" x14ac:dyDescent="0.25"/>
    <row r="728" ht="12" customHeight="1" x14ac:dyDescent="0.25"/>
    <row r="729" ht="12" customHeight="1" x14ac:dyDescent="0.25"/>
    <row r="730" ht="12" customHeight="1" x14ac:dyDescent="0.25"/>
    <row r="731" ht="12" customHeight="1" x14ac:dyDescent="0.25"/>
    <row r="732" ht="12" customHeight="1" x14ac:dyDescent="0.25"/>
    <row r="733" ht="12" customHeight="1" x14ac:dyDescent="0.25"/>
    <row r="734" ht="12" customHeight="1" x14ac:dyDescent="0.25"/>
    <row r="735" ht="12" customHeight="1" x14ac:dyDescent="0.25"/>
    <row r="736" ht="12" customHeight="1" x14ac:dyDescent="0.25"/>
    <row r="737" ht="12" customHeight="1" x14ac:dyDescent="0.25"/>
    <row r="738" ht="12" customHeight="1" x14ac:dyDescent="0.25"/>
    <row r="739" ht="12" customHeight="1" x14ac:dyDescent="0.25"/>
    <row r="740" ht="12" customHeight="1" x14ac:dyDescent="0.25"/>
    <row r="741" ht="12" customHeight="1" x14ac:dyDescent="0.25"/>
    <row r="742" ht="12" customHeight="1" x14ac:dyDescent="0.25"/>
    <row r="743" ht="12" customHeight="1" x14ac:dyDescent="0.25"/>
    <row r="744" ht="12" customHeight="1" x14ac:dyDescent="0.25"/>
    <row r="745" ht="12" customHeight="1" x14ac:dyDescent="0.25"/>
    <row r="746" ht="12" customHeight="1" x14ac:dyDescent="0.25"/>
    <row r="747" ht="12" customHeight="1" x14ac:dyDescent="0.25"/>
    <row r="748" ht="12" customHeight="1" x14ac:dyDescent="0.25"/>
    <row r="749" ht="12" customHeight="1" x14ac:dyDescent="0.25"/>
    <row r="750" ht="12" customHeight="1" x14ac:dyDescent="0.25"/>
    <row r="751" ht="12" customHeight="1" x14ac:dyDescent="0.25"/>
    <row r="752" ht="12" customHeight="1" x14ac:dyDescent="0.25"/>
    <row r="753" ht="12" customHeight="1" x14ac:dyDescent="0.25"/>
    <row r="754" ht="12" customHeight="1" x14ac:dyDescent="0.25"/>
    <row r="755" ht="12" customHeight="1" x14ac:dyDescent="0.25"/>
    <row r="756" ht="12" customHeight="1" x14ac:dyDescent="0.25"/>
    <row r="757" ht="12" customHeight="1" x14ac:dyDescent="0.25"/>
    <row r="758" ht="12" customHeight="1" x14ac:dyDescent="0.25"/>
    <row r="759" ht="12" customHeight="1" x14ac:dyDescent="0.25"/>
    <row r="760" ht="12" customHeight="1" x14ac:dyDescent="0.25"/>
    <row r="761" ht="12" customHeight="1" x14ac:dyDescent="0.25"/>
    <row r="762" ht="12" customHeight="1" x14ac:dyDescent="0.25"/>
    <row r="763" ht="12" customHeight="1" x14ac:dyDescent="0.25"/>
    <row r="764" ht="12" customHeight="1" x14ac:dyDescent="0.25"/>
    <row r="765" ht="12" customHeight="1" x14ac:dyDescent="0.25"/>
    <row r="766" ht="12" customHeight="1" x14ac:dyDescent="0.25"/>
    <row r="767" ht="12" customHeight="1" x14ac:dyDescent="0.25"/>
    <row r="768" ht="12" customHeight="1" x14ac:dyDescent="0.25"/>
    <row r="769" ht="12" customHeight="1" x14ac:dyDescent="0.25"/>
    <row r="770" ht="12" customHeight="1" x14ac:dyDescent="0.25"/>
    <row r="771" ht="12" customHeight="1" x14ac:dyDescent="0.25"/>
    <row r="772" ht="12" customHeight="1" x14ac:dyDescent="0.25"/>
    <row r="773" ht="12" customHeight="1" x14ac:dyDescent="0.25"/>
    <row r="774" ht="12" customHeight="1" x14ac:dyDescent="0.25"/>
    <row r="775" ht="12" customHeight="1" x14ac:dyDescent="0.25"/>
    <row r="776" ht="12" customHeight="1" x14ac:dyDescent="0.25"/>
    <row r="777" ht="12" customHeight="1" x14ac:dyDescent="0.25"/>
    <row r="778" ht="12" customHeight="1" x14ac:dyDescent="0.25"/>
    <row r="779" ht="12" customHeight="1" x14ac:dyDescent="0.25"/>
    <row r="780" ht="12" customHeight="1" x14ac:dyDescent="0.25"/>
    <row r="781" ht="12" customHeight="1" x14ac:dyDescent="0.25"/>
    <row r="782" ht="12" customHeight="1" x14ac:dyDescent="0.25"/>
    <row r="783" ht="12" customHeight="1" x14ac:dyDescent="0.25"/>
    <row r="784" ht="12" customHeight="1" x14ac:dyDescent="0.25"/>
    <row r="785" ht="12" customHeight="1" x14ac:dyDescent="0.25"/>
    <row r="786" ht="12" customHeight="1" x14ac:dyDescent="0.25"/>
    <row r="787" ht="12" customHeight="1" x14ac:dyDescent="0.25"/>
    <row r="788" ht="12" customHeight="1" x14ac:dyDescent="0.25"/>
    <row r="789" ht="12" customHeight="1" x14ac:dyDescent="0.25"/>
    <row r="790" ht="12" customHeight="1" x14ac:dyDescent="0.25"/>
    <row r="791" ht="12" customHeight="1" x14ac:dyDescent="0.25"/>
    <row r="792" ht="12" customHeight="1" x14ac:dyDescent="0.25"/>
    <row r="793" ht="12" customHeight="1" x14ac:dyDescent="0.25"/>
    <row r="794" ht="12" customHeight="1" x14ac:dyDescent="0.25"/>
    <row r="795" ht="12" customHeight="1" x14ac:dyDescent="0.25"/>
    <row r="796" ht="12" customHeight="1" x14ac:dyDescent="0.25"/>
    <row r="797" ht="12" customHeight="1" x14ac:dyDescent="0.25"/>
    <row r="798" ht="12" customHeight="1" x14ac:dyDescent="0.25"/>
    <row r="799" ht="12" customHeight="1" x14ac:dyDescent="0.25"/>
    <row r="800" ht="12" customHeight="1" x14ac:dyDescent="0.25"/>
    <row r="801" ht="12" customHeight="1" x14ac:dyDescent="0.25"/>
    <row r="802" ht="12" customHeight="1" x14ac:dyDescent="0.25"/>
    <row r="803" ht="12" customHeight="1" x14ac:dyDescent="0.25"/>
    <row r="804" ht="12" customHeight="1" x14ac:dyDescent="0.25"/>
    <row r="805" ht="12" customHeight="1" x14ac:dyDescent="0.25"/>
    <row r="806" ht="12" customHeight="1" x14ac:dyDescent="0.25"/>
    <row r="807" ht="12" customHeight="1" x14ac:dyDescent="0.25"/>
    <row r="808" ht="12" customHeight="1" x14ac:dyDescent="0.25"/>
    <row r="809" ht="12" customHeight="1" x14ac:dyDescent="0.25"/>
    <row r="810" ht="12" customHeight="1" x14ac:dyDescent="0.25"/>
    <row r="811" ht="12" customHeight="1" x14ac:dyDescent="0.25"/>
    <row r="812" ht="12" customHeight="1" x14ac:dyDescent="0.25"/>
    <row r="813" ht="12" customHeight="1" x14ac:dyDescent="0.25"/>
    <row r="814" ht="12" customHeight="1" x14ac:dyDescent="0.25"/>
    <row r="815" ht="12" customHeight="1" x14ac:dyDescent="0.25"/>
    <row r="816" ht="12" customHeight="1" x14ac:dyDescent="0.25"/>
    <row r="817" ht="12" customHeight="1" x14ac:dyDescent="0.25"/>
    <row r="818" ht="12" customHeight="1" x14ac:dyDescent="0.25"/>
    <row r="819" ht="12" customHeight="1" x14ac:dyDescent="0.25"/>
    <row r="820" ht="12" customHeight="1" x14ac:dyDescent="0.25"/>
    <row r="821" ht="12" customHeight="1" x14ac:dyDescent="0.25"/>
    <row r="822" ht="12" customHeight="1" x14ac:dyDescent="0.25"/>
    <row r="823" ht="12" customHeight="1" x14ac:dyDescent="0.25"/>
    <row r="824" ht="12" customHeight="1" x14ac:dyDescent="0.25"/>
    <row r="825" ht="12" customHeight="1" x14ac:dyDescent="0.25"/>
    <row r="826" ht="12" customHeight="1" x14ac:dyDescent="0.25"/>
    <row r="827" ht="12" customHeight="1" x14ac:dyDescent="0.25"/>
    <row r="828" ht="12" customHeight="1" x14ac:dyDescent="0.25"/>
    <row r="829" ht="12" customHeight="1" x14ac:dyDescent="0.25"/>
    <row r="830" ht="12" customHeight="1" x14ac:dyDescent="0.25"/>
    <row r="831" ht="12" customHeight="1" x14ac:dyDescent="0.25"/>
    <row r="832" ht="12" customHeight="1" x14ac:dyDescent="0.25"/>
    <row r="833" ht="12" customHeight="1" x14ac:dyDescent="0.25"/>
    <row r="834" ht="12" customHeight="1" x14ac:dyDescent="0.25"/>
    <row r="835" ht="12" customHeight="1" x14ac:dyDescent="0.25"/>
    <row r="836" ht="12" customHeight="1" x14ac:dyDescent="0.25"/>
    <row r="837" ht="12" customHeight="1" x14ac:dyDescent="0.25"/>
    <row r="838" ht="12" customHeight="1" x14ac:dyDescent="0.25"/>
    <row r="839" ht="12" customHeight="1" x14ac:dyDescent="0.25"/>
    <row r="840" ht="12" customHeight="1" x14ac:dyDescent="0.25"/>
    <row r="841" ht="12" customHeight="1" x14ac:dyDescent="0.25"/>
    <row r="842" ht="12" customHeight="1" x14ac:dyDescent="0.25"/>
    <row r="843" ht="12" customHeight="1" x14ac:dyDescent="0.25"/>
    <row r="844" ht="12" customHeight="1" x14ac:dyDescent="0.25"/>
    <row r="845" ht="12" customHeight="1" x14ac:dyDescent="0.25"/>
    <row r="846" ht="12" customHeight="1" x14ac:dyDescent="0.25"/>
    <row r="847" ht="12" customHeight="1" x14ac:dyDescent="0.25"/>
    <row r="848" ht="12" customHeight="1" x14ac:dyDescent="0.25"/>
    <row r="849" ht="12" customHeight="1" x14ac:dyDescent="0.25"/>
    <row r="850" ht="12" customHeight="1" x14ac:dyDescent="0.25"/>
    <row r="851" ht="12" customHeight="1" x14ac:dyDescent="0.25"/>
    <row r="852" ht="12" customHeight="1" x14ac:dyDescent="0.25"/>
    <row r="853" ht="12" customHeight="1" x14ac:dyDescent="0.25"/>
    <row r="854" ht="12" customHeight="1" x14ac:dyDescent="0.25"/>
    <row r="855" ht="12" customHeight="1" x14ac:dyDescent="0.25"/>
    <row r="856" ht="12" customHeight="1" x14ac:dyDescent="0.25"/>
    <row r="857" ht="12" customHeight="1" x14ac:dyDescent="0.25"/>
    <row r="858" ht="12" customHeight="1" x14ac:dyDescent="0.25"/>
    <row r="859" ht="12" customHeight="1" x14ac:dyDescent="0.25"/>
    <row r="860" ht="12" customHeight="1" x14ac:dyDescent="0.25"/>
    <row r="861" ht="12" customHeight="1" x14ac:dyDescent="0.25"/>
    <row r="862" ht="12" customHeight="1" x14ac:dyDescent="0.25"/>
    <row r="863" ht="12" customHeight="1" x14ac:dyDescent="0.25"/>
    <row r="864" ht="12" customHeight="1" x14ac:dyDescent="0.25"/>
    <row r="865" ht="12" customHeight="1" x14ac:dyDescent="0.25"/>
    <row r="866" ht="12" customHeight="1" x14ac:dyDescent="0.25"/>
    <row r="867" ht="12" customHeight="1" x14ac:dyDescent="0.25"/>
    <row r="868" ht="12" customHeight="1" x14ac:dyDescent="0.25"/>
    <row r="869" ht="12" customHeight="1" x14ac:dyDescent="0.25"/>
    <row r="870" ht="12" customHeight="1" x14ac:dyDescent="0.25"/>
    <row r="871" ht="12" customHeight="1" x14ac:dyDescent="0.25"/>
    <row r="872" ht="12" customHeight="1" x14ac:dyDescent="0.25"/>
    <row r="873" ht="12" customHeight="1" x14ac:dyDescent="0.25"/>
    <row r="874" ht="12" customHeight="1" x14ac:dyDescent="0.25"/>
    <row r="875" ht="12" customHeight="1" x14ac:dyDescent="0.25"/>
    <row r="876" ht="12" customHeight="1" x14ac:dyDescent="0.25"/>
    <row r="877" ht="12" customHeight="1" x14ac:dyDescent="0.25"/>
    <row r="878" ht="12" customHeight="1" x14ac:dyDescent="0.25"/>
    <row r="879" ht="12" customHeight="1" x14ac:dyDescent="0.25"/>
    <row r="880" ht="12" customHeight="1" x14ac:dyDescent="0.25"/>
    <row r="881" ht="12" customHeight="1" x14ac:dyDescent="0.25"/>
    <row r="882" ht="12" customHeight="1" x14ac:dyDescent="0.25"/>
    <row r="883" ht="12" customHeight="1" x14ac:dyDescent="0.25"/>
    <row r="884" ht="12" customHeight="1" x14ac:dyDescent="0.25"/>
    <row r="885" ht="12" customHeight="1" x14ac:dyDescent="0.25"/>
    <row r="886" ht="12" customHeight="1" x14ac:dyDescent="0.25"/>
    <row r="887" ht="12" customHeight="1" x14ac:dyDescent="0.25"/>
    <row r="888" ht="12" customHeight="1" x14ac:dyDescent="0.25"/>
    <row r="889" ht="12" customHeight="1" x14ac:dyDescent="0.25"/>
    <row r="890" ht="12" customHeight="1" x14ac:dyDescent="0.25"/>
    <row r="891" ht="12" customHeight="1" x14ac:dyDescent="0.25"/>
    <row r="892" ht="12" customHeight="1" x14ac:dyDescent="0.25"/>
    <row r="893" ht="12" customHeight="1" x14ac:dyDescent="0.25"/>
    <row r="894" ht="12" customHeight="1" x14ac:dyDescent="0.25"/>
    <row r="895" ht="12" customHeight="1" x14ac:dyDescent="0.25"/>
    <row r="896" ht="12" customHeight="1" x14ac:dyDescent="0.25"/>
    <row r="897" ht="12" customHeight="1" x14ac:dyDescent="0.25"/>
    <row r="898" ht="12" customHeight="1" x14ac:dyDescent="0.25"/>
    <row r="899" ht="12" customHeight="1" x14ac:dyDescent="0.25"/>
    <row r="900" ht="12" customHeight="1" x14ac:dyDescent="0.25"/>
    <row r="901" ht="12" customHeight="1" x14ac:dyDescent="0.25"/>
    <row r="902" ht="12" customHeight="1" x14ac:dyDescent="0.25"/>
    <row r="903" ht="12" customHeight="1" x14ac:dyDescent="0.25"/>
    <row r="904" ht="12" customHeight="1" x14ac:dyDescent="0.25"/>
    <row r="905" ht="12" customHeight="1" x14ac:dyDescent="0.25"/>
    <row r="906" ht="12" customHeight="1" x14ac:dyDescent="0.25"/>
    <row r="907" ht="12" customHeight="1" x14ac:dyDescent="0.25"/>
    <row r="908" ht="12" customHeight="1" x14ac:dyDescent="0.25"/>
    <row r="909" ht="12" customHeight="1" x14ac:dyDescent="0.25"/>
    <row r="910" ht="12" customHeight="1" x14ac:dyDescent="0.25"/>
    <row r="911" ht="12" customHeight="1" x14ac:dyDescent="0.25"/>
    <row r="912" ht="12" customHeight="1" x14ac:dyDescent="0.25"/>
    <row r="913" ht="12" customHeight="1" x14ac:dyDescent="0.25"/>
    <row r="914" ht="12" customHeight="1" x14ac:dyDescent="0.25"/>
    <row r="915" ht="12" customHeight="1" x14ac:dyDescent="0.25"/>
    <row r="916" ht="12" customHeight="1" x14ac:dyDescent="0.25"/>
    <row r="917" ht="12" customHeight="1" x14ac:dyDescent="0.25"/>
    <row r="918" ht="12" customHeight="1" x14ac:dyDescent="0.25"/>
    <row r="919" ht="12" customHeight="1" x14ac:dyDescent="0.25"/>
    <row r="920" ht="12" customHeight="1" x14ac:dyDescent="0.25"/>
    <row r="921" ht="12" customHeight="1" x14ac:dyDescent="0.25"/>
    <row r="922" ht="12" customHeight="1" x14ac:dyDescent="0.25"/>
    <row r="923" ht="12" customHeight="1" x14ac:dyDescent="0.25"/>
    <row r="924" ht="12" customHeight="1" x14ac:dyDescent="0.25"/>
    <row r="925" ht="12" customHeight="1" x14ac:dyDescent="0.25"/>
    <row r="926" ht="12" customHeight="1" x14ac:dyDescent="0.25"/>
    <row r="927" ht="12" customHeight="1" x14ac:dyDescent="0.25"/>
    <row r="928" ht="12" customHeight="1" x14ac:dyDescent="0.25"/>
    <row r="929" ht="12" customHeight="1" x14ac:dyDescent="0.25"/>
    <row r="930" ht="12" customHeight="1" x14ac:dyDescent="0.25"/>
    <row r="931" ht="12" customHeight="1" x14ac:dyDescent="0.25"/>
    <row r="932" ht="12" customHeight="1" x14ac:dyDescent="0.25"/>
    <row r="933" ht="12" customHeight="1" x14ac:dyDescent="0.25"/>
    <row r="934" ht="12" customHeight="1" x14ac:dyDescent="0.25"/>
    <row r="935" ht="12" customHeight="1" x14ac:dyDescent="0.25"/>
    <row r="936" ht="12" customHeight="1" x14ac:dyDescent="0.25"/>
    <row r="937" ht="12" customHeight="1" x14ac:dyDescent="0.25"/>
    <row r="938" ht="12" customHeight="1" x14ac:dyDescent="0.25"/>
    <row r="939" ht="12" customHeight="1" x14ac:dyDescent="0.25"/>
    <row r="940" ht="12" customHeight="1" x14ac:dyDescent="0.25"/>
    <row r="941" ht="12" customHeight="1" x14ac:dyDescent="0.25"/>
    <row r="942" ht="12" customHeight="1" x14ac:dyDescent="0.25"/>
    <row r="943" ht="12" customHeight="1" x14ac:dyDescent="0.25"/>
    <row r="944" ht="12" customHeight="1" x14ac:dyDescent="0.25"/>
    <row r="945" ht="12" customHeight="1" x14ac:dyDescent="0.25"/>
    <row r="946" ht="12" customHeight="1" x14ac:dyDescent="0.25"/>
    <row r="947" ht="12" customHeight="1" x14ac:dyDescent="0.25"/>
    <row r="948" ht="12" customHeight="1" x14ac:dyDescent="0.25"/>
    <row r="949" ht="12" customHeight="1" x14ac:dyDescent="0.25"/>
    <row r="950" ht="12" customHeight="1" x14ac:dyDescent="0.25"/>
    <row r="951" ht="12" customHeight="1" x14ac:dyDescent="0.25"/>
    <row r="952" ht="12" customHeight="1" x14ac:dyDescent="0.25"/>
    <row r="953" ht="12" customHeight="1" x14ac:dyDescent="0.25"/>
    <row r="954" ht="12" customHeight="1" x14ac:dyDescent="0.25"/>
    <row r="955" ht="12" customHeight="1" x14ac:dyDescent="0.25"/>
    <row r="956" ht="12" customHeight="1" x14ac:dyDescent="0.25"/>
    <row r="957" ht="12" customHeight="1" x14ac:dyDescent="0.25"/>
    <row r="958" ht="12" customHeight="1" x14ac:dyDescent="0.25"/>
    <row r="959" ht="12" customHeight="1" x14ac:dyDescent="0.25"/>
    <row r="960" ht="12" customHeight="1" x14ac:dyDescent="0.25"/>
    <row r="961" ht="12" customHeight="1" x14ac:dyDescent="0.25"/>
    <row r="962" ht="12" customHeight="1" x14ac:dyDescent="0.25"/>
    <row r="963" ht="12" customHeight="1" x14ac:dyDescent="0.25"/>
    <row r="964" ht="12" customHeight="1" x14ac:dyDescent="0.25"/>
    <row r="965" ht="12" customHeight="1" x14ac:dyDescent="0.25"/>
    <row r="966" ht="12" customHeight="1" x14ac:dyDescent="0.25"/>
    <row r="967" ht="12" customHeight="1" x14ac:dyDescent="0.25"/>
    <row r="968" ht="12" customHeight="1" x14ac:dyDescent="0.25"/>
    <row r="969" ht="12" customHeight="1" x14ac:dyDescent="0.25"/>
    <row r="970" ht="12" customHeight="1" x14ac:dyDescent="0.25"/>
    <row r="971" ht="12" customHeight="1" x14ac:dyDescent="0.25"/>
    <row r="972" ht="12" customHeight="1" x14ac:dyDescent="0.25"/>
    <row r="973" ht="12" customHeight="1" x14ac:dyDescent="0.25"/>
    <row r="974" ht="12" customHeight="1" x14ac:dyDescent="0.25"/>
    <row r="975" ht="12" customHeight="1" x14ac:dyDescent="0.25"/>
    <row r="976" ht="12" customHeight="1" x14ac:dyDescent="0.25"/>
    <row r="977" ht="12" customHeight="1" x14ac:dyDescent="0.25"/>
    <row r="978" ht="12" customHeight="1" x14ac:dyDescent="0.25"/>
    <row r="979" ht="12" customHeight="1" x14ac:dyDescent="0.25"/>
    <row r="980" ht="12" customHeight="1" x14ac:dyDescent="0.25"/>
    <row r="981" ht="12" customHeight="1" x14ac:dyDescent="0.25"/>
    <row r="982" ht="12" customHeight="1" x14ac:dyDescent="0.25"/>
    <row r="983" ht="12" customHeight="1" x14ac:dyDescent="0.25"/>
    <row r="984" ht="12" customHeight="1" x14ac:dyDescent="0.25"/>
    <row r="985" ht="12" customHeight="1" x14ac:dyDescent="0.25"/>
    <row r="986" ht="12" customHeight="1" x14ac:dyDescent="0.25"/>
    <row r="987" ht="12" customHeight="1" x14ac:dyDescent="0.25"/>
    <row r="988" ht="12" customHeight="1" x14ac:dyDescent="0.25"/>
    <row r="989" ht="12" customHeight="1" x14ac:dyDescent="0.25"/>
    <row r="990" ht="12" customHeight="1" x14ac:dyDescent="0.25"/>
    <row r="991" ht="12" customHeight="1" x14ac:dyDescent="0.25"/>
    <row r="992" ht="12" customHeight="1" x14ac:dyDescent="0.25"/>
    <row r="993" ht="12" customHeight="1" x14ac:dyDescent="0.25"/>
    <row r="994" ht="12" customHeight="1" x14ac:dyDescent="0.25"/>
    <row r="995" ht="12" customHeight="1" x14ac:dyDescent="0.25"/>
    <row r="996" ht="12" customHeight="1" x14ac:dyDescent="0.25"/>
    <row r="997" ht="12" customHeight="1" x14ac:dyDescent="0.25"/>
    <row r="998" ht="12" customHeight="1" x14ac:dyDescent="0.25"/>
    <row r="999" ht="12" customHeight="1" x14ac:dyDescent="0.25"/>
    <row r="1000" ht="12" customHeight="1" x14ac:dyDescent="0.25"/>
  </sheetData>
  <pageMargins left="0.7" right="0.7" top="0.75" bottom="0.75" header="0" footer="0"/>
  <pageSetup orientation="landscape"/>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10</vt:i4>
      </vt:variant>
    </vt:vector>
  </HeadingPairs>
  <TitlesOfParts>
    <vt:vector size="10" baseType="lpstr">
      <vt:lpstr>ENTREGABLE 3</vt:lpstr>
      <vt:lpstr>DOLAR MEP</vt:lpstr>
      <vt:lpstr>Ejercicio 1 y 2</vt:lpstr>
      <vt:lpstr>Ejercicio 3</vt:lpstr>
      <vt:lpstr>Ejercicio 4</vt:lpstr>
      <vt:lpstr>Ejercicio 5</vt:lpstr>
      <vt:lpstr>Ejercicio 6</vt:lpstr>
      <vt:lpstr>Ejercicio 7</vt:lpstr>
      <vt:lpstr>Ejercicio 8 y 9</vt:lpstr>
      <vt:lpstr>Ejercicio 10</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Esteban Yañez</dc:creator>
  <cp:lastModifiedBy>MEC</cp:lastModifiedBy>
  <dcterms:created xsi:type="dcterms:W3CDTF">1999-05-21T04:40:53Z</dcterms:created>
  <dcterms:modified xsi:type="dcterms:W3CDTF">2023-04-23T19:16:02Z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Documento</vt:lpwstr>
  </property>
</Properties>
</file>