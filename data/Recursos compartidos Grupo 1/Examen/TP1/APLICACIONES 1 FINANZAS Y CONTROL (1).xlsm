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workbookPr/>
  <mc:AlternateContent xmlns:mc="http://schemas.openxmlformats.org/markup-compatibility/2006">
    <mc:Choice Requires="x15">
      <x15ac:absPath xmlns:x15ac="http://schemas.microsoft.com/office/spreadsheetml/2010/11/ac" url="C:\Users\MEC\Documents\itba\finanzas_control_de_gestion\Examen\TP1\"/>
    </mc:Choice>
  </mc:AlternateContent>
  <xr:revisionPtr revIDLastSave="0" documentId="13_ncr:1_{2CE50B95-2BCD-4EB1-8B78-A666D4FF0266}" xr6:coauthVersionLast="47" xr6:coauthVersionMax="47" xr10:uidLastSave="{00000000-0000-0000-0000-000000000000}"/>
  <bookViews>
    <workbookView xWindow="-110" yWindow="-110" windowWidth="19420" windowHeight="10300" xr2:uid="{00000000-000D-0000-FFFF-FFFF00000000}"/>
  </bookViews>
  <sheets>
    <sheet name="ENTREGABLE1" sheetId="1" r:id="rId1"/>
    <sheet name="Copia de ENTREGABLE1" sheetId="2" state="hidden" r:id="rId2"/>
    <sheet name="Hoja1" sheetId="3" state="hidden" r:id="rId3"/>
  </sheets>
  <definedNames>
    <definedName name="taxtabl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7" roundtripDataSignature="AMtx7mghuSMYU59fFwzyddiR2YjxMiSEaQ=="/>
    </ext>
  </extLst>
</workbook>
</file>

<file path=xl/calcChain.xml><?xml version="1.0" encoding="utf-8"?>
<calcChain xmlns="http://schemas.openxmlformats.org/spreadsheetml/2006/main">
  <c r="I87" i="1" l="1"/>
  <c r="H87" i="1"/>
  <c r="A36" i="3"/>
  <c r="C35" i="3"/>
  <c r="B35" i="3"/>
  <c r="A35" i="3"/>
  <c r="A34" i="3"/>
  <c r="C33" i="3"/>
  <c r="B33" i="3"/>
  <c r="A33" i="3"/>
  <c r="A32" i="3"/>
  <c r="A31" i="3"/>
  <c r="A30" i="3"/>
  <c r="C29" i="3"/>
  <c r="B29" i="3"/>
  <c r="A29" i="3"/>
  <c r="A28" i="3"/>
  <c r="C27" i="3"/>
  <c r="B27" i="3"/>
  <c r="A27" i="3"/>
  <c r="B26" i="3"/>
  <c r="A26" i="3"/>
  <c r="C25" i="3"/>
  <c r="B25" i="3"/>
  <c r="A25" i="3"/>
  <c r="C24" i="3"/>
  <c r="B24" i="3"/>
  <c r="A24" i="3"/>
  <c r="A23" i="3"/>
  <c r="A22" i="3"/>
  <c r="B21" i="3"/>
  <c r="A21" i="3"/>
  <c r="C20" i="3"/>
  <c r="B20" i="3"/>
  <c r="A20" i="3"/>
  <c r="C19" i="3"/>
  <c r="B19" i="3"/>
  <c r="A19" i="3"/>
  <c r="B18" i="3"/>
  <c r="A18" i="3"/>
  <c r="C17" i="3"/>
  <c r="B17" i="3"/>
  <c r="A17" i="3"/>
  <c r="B16" i="3"/>
  <c r="A16" i="3"/>
  <c r="C15" i="3"/>
  <c r="B15" i="3"/>
  <c r="A15" i="3"/>
  <c r="C14" i="3"/>
  <c r="B14" i="3"/>
  <c r="A14" i="3"/>
  <c r="C13" i="3"/>
  <c r="B13" i="3"/>
  <c r="A13" i="3"/>
  <c r="A12" i="3"/>
  <c r="C11" i="3"/>
  <c r="B11" i="3"/>
  <c r="A11" i="3"/>
  <c r="A10" i="3"/>
  <c r="C9" i="3"/>
  <c r="B9" i="3"/>
  <c r="A9" i="3"/>
  <c r="C8" i="3"/>
  <c r="B8" i="3"/>
  <c r="A8" i="3"/>
  <c r="C7" i="3"/>
  <c r="B7" i="3"/>
  <c r="A7" i="3"/>
  <c r="B6" i="3"/>
  <c r="A6" i="3"/>
  <c r="C5" i="3"/>
  <c r="B5" i="3"/>
  <c r="A5" i="3"/>
  <c r="C4" i="3"/>
  <c r="B4" i="3"/>
  <c r="A4" i="3"/>
  <c r="C3" i="3"/>
  <c r="B3" i="3"/>
  <c r="A3" i="3"/>
  <c r="C2" i="3"/>
  <c r="B2" i="3"/>
  <c r="A2" i="3"/>
  <c r="I88" i="2"/>
  <c r="H88" i="2"/>
  <c r="K88" i="2" s="1"/>
  <c r="I87" i="2"/>
  <c r="G87" i="2"/>
  <c r="K70" i="2"/>
  <c r="I70" i="2"/>
  <c r="H70" i="2"/>
  <c r="J70" i="2" s="1"/>
  <c r="I69" i="2"/>
  <c r="I76" i="2" s="1"/>
  <c r="I68" i="2"/>
  <c r="I75" i="2" s="1"/>
  <c r="I60" i="2"/>
  <c r="I59" i="2"/>
  <c r="H59" i="2"/>
  <c r="K59" i="2" s="1"/>
  <c r="G59" i="2"/>
  <c r="K52" i="2"/>
  <c r="J52" i="2"/>
  <c r="K49" i="2"/>
  <c r="J49" i="2"/>
  <c r="K45" i="2"/>
  <c r="J45" i="2"/>
  <c r="G44" i="2"/>
  <c r="K43" i="2"/>
  <c r="J43" i="2"/>
  <c r="I42" i="2"/>
  <c r="J42" i="2" s="1"/>
  <c r="H42" i="2"/>
  <c r="K42" i="2" s="1"/>
  <c r="G42" i="2"/>
  <c r="K41" i="2"/>
  <c r="J41" i="2"/>
  <c r="K40" i="2"/>
  <c r="J40" i="2"/>
  <c r="I38" i="2"/>
  <c r="H38" i="2"/>
  <c r="G38" i="2"/>
  <c r="I33" i="2"/>
  <c r="K31" i="2"/>
  <c r="J31" i="2"/>
  <c r="K30" i="2"/>
  <c r="J30" i="2"/>
  <c r="K28" i="2"/>
  <c r="J28" i="2"/>
  <c r="I27" i="2"/>
  <c r="I29" i="2" s="1"/>
  <c r="H27" i="2"/>
  <c r="H29" i="2" s="1"/>
  <c r="G27" i="2"/>
  <c r="G29" i="2" s="1"/>
  <c r="K26" i="2"/>
  <c r="J26" i="2"/>
  <c r="K25" i="2"/>
  <c r="J25" i="2"/>
  <c r="K24" i="2"/>
  <c r="J24" i="2"/>
  <c r="K20" i="2"/>
  <c r="J20" i="2"/>
  <c r="I19" i="2"/>
  <c r="I21" i="2" s="1"/>
  <c r="K18" i="2"/>
  <c r="J18" i="2"/>
  <c r="K17" i="2"/>
  <c r="J17" i="2"/>
  <c r="K16" i="2"/>
  <c r="J16" i="2"/>
  <c r="H15" i="2"/>
  <c r="H19" i="2" s="1"/>
  <c r="G15" i="2"/>
  <c r="G19" i="2" s="1"/>
  <c r="I13" i="2"/>
  <c r="H13" i="2"/>
  <c r="G13" i="2"/>
  <c r="K9" i="2"/>
  <c r="J9" i="2"/>
  <c r="K8" i="2"/>
  <c r="J8" i="2"/>
  <c r="K7" i="2"/>
  <c r="J7" i="2"/>
  <c r="K6" i="2"/>
  <c r="J6" i="2"/>
  <c r="I88" i="1"/>
  <c r="H88" i="1"/>
  <c r="K88" i="1" s="1"/>
  <c r="G87" i="1"/>
  <c r="H86" i="1"/>
  <c r="I73" i="1"/>
  <c r="I74" i="1" s="1"/>
  <c r="I70" i="1"/>
  <c r="H70" i="1"/>
  <c r="K70" i="1" s="1"/>
  <c r="I69" i="1"/>
  <c r="I76" i="1" s="1"/>
  <c r="I68" i="1"/>
  <c r="I75" i="1" s="1"/>
  <c r="H68" i="1"/>
  <c r="K68" i="1" s="1"/>
  <c r="I59" i="1"/>
  <c r="H59" i="1"/>
  <c r="J59" i="1" s="1"/>
  <c r="G59" i="1"/>
  <c r="K52" i="1"/>
  <c r="J52" i="1"/>
  <c r="K49" i="1"/>
  <c r="J49" i="1"/>
  <c r="K45" i="1"/>
  <c r="J45" i="1"/>
  <c r="I44" i="1"/>
  <c r="I46" i="1" s="1"/>
  <c r="K43" i="1"/>
  <c r="J43" i="1"/>
  <c r="I42" i="1"/>
  <c r="H42" i="1"/>
  <c r="H44" i="1" s="1"/>
  <c r="G42" i="1"/>
  <c r="G44" i="1" s="1"/>
  <c r="K41" i="1"/>
  <c r="J41" i="1"/>
  <c r="K40" i="1"/>
  <c r="J40" i="1"/>
  <c r="I38" i="1"/>
  <c r="H38" i="1"/>
  <c r="G38" i="1"/>
  <c r="I33" i="1"/>
  <c r="I60" i="1" s="1"/>
  <c r="K31" i="1"/>
  <c r="J31" i="1"/>
  <c r="K30" i="1"/>
  <c r="J30" i="1"/>
  <c r="I29" i="1"/>
  <c r="I34" i="1" s="1"/>
  <c r="B23" i="3" s="1"/>
  <c r="H29" i="1"/>
  <c r="K29" i="1" s="1"/>
  <c r="K28" i="1"/>
  <c r="J28" i="1"/>
  <c r="I27" i="1"/>
  <c r="H27" i="1"/>
  <c r="K27" i="1" s="1"/>
  <c r="G27" i="1"/>
  <c r="G29" i="1" s="1"/>
  <c r="K26" i="1"/>
  <c r="J26" i="1"/>
  <c r="K25" i="1"/>
  <c r="J25" i="1"/>
  <c r="K24" i="1"/>
  <c r="J24" i="1"/>
  <c r="H21" i="1"/>
  <c r="C12" i="3" s="1"/>
  <c r="K20" i="1"/>
  <c r="J20" i="1"/>
  <c r="I19" i="1"/>
  <c r="I86" i="1" s="1"/>
  <c r="H19" i="1"/>
  <c r="J19" i="1" s="1"/>
  <c r="G19" i="1"/>
  <c r="G86" i="1" s="1"/>
  <c r="K18" i="1"/>
  <c r="J18" i="1"/>
  <c r="K17" i="1"/>
  <c r="J17" i="1"/>
  <c r="K16" i="1"/>
  <c r="J16" i="1"/>
  <c r="K15" i="1"/>
  <c r="J15" i="1"/>
  <c r="H15" i="1"/>
  <c r="H69" i="1" s="1"/>
  <c r="G15" i="1"/>
  <c r="G68" i="1" s="1"/>
  <c r="I13" i="1"/>
  <c r="H13" i="1"/>
  <c r="G13" i="1"/>
  <c r="K9" i="1"/>
  <c r="J9" i="1"/>
  <c r="K8" i="1"/>
  <c r="J8" i="1"/>
  <c r="K7" i="1"/>
  <c r="J7" i="1"/>
  <c r="K6" i="1"/>
  <c r="J6" i="1"/>
  <c r="I85" i="2" l="1"/>
  <c r="I73" i="2"/>
  <c r="M45" i="2"/>
  <c r="I34" i="2"/>
  <c r="I90" i="1"/>
  <c r="B30" i="3"/>
  <c r="I47" i="1"/>
  <c r="B31" i="3" s="1"/>
  <c r="K86" i="1"/>
  <c r="G21" i="2"/>
  <c r="G86" i="2"/>
  <c r="I94" i="2"/>
  <c r="I93" i="2"/>
  <c r="G71" i="1"/>
  <c r="G46" i="1"/>
  <c r="G72" i="1"/>
  <c r="H87" i="2"/>
  <c r="J19" i="2"/>
  <c r="H21" i="2"/>
  <c r="K19" i="2"/>
  <c r="H86" i="2"/>
  <c r="G85" i="2"/>
  <c r="N45" i="2"/>
  <c r="H76" i="1"/>
  <c r="K69" i="1"/>
  <c r="J69" i="1"/>
  <c r="C28" i="3"/>
  <c r="H46" i="1"/>
  <c r="H72" i="1"/>
  <c r="H71" i="1"/>
  <c r="K44" i="1"/>
  <c r="J44" i="1"/>
  <c r="G69" i="1"/>
  <c r="G76" i="1" s="1"/>
  <c r="G75" i="1"/>
  <c r="J29" i="2"/>
  <c r="H73" i="2"/>
  <c r="L45" i="2"/>
  <c r="K29" i="2"/>
  <c r="B10" i="3"/>
  <c r="I21" i="1"/>
  <c r="I71" i="1"/>
  <c r="H73" i="1"/>
  <c r="J27" i="2"/>
  <c r="H69" i="2"/>
  <c r="G71" i="2"/>
  <c r="C10" i="3"/>
  <c r="C18" i="3"/>
  <c r="C26" i="3"/>
  <c r="H75" i="1"/>
  <c r="J86" i="1"/>
  <c r="K42" i="1"/>
  <c r="K59" i="1"/>
  <c r="H85" i="1"/>
  <c r="H44" i="2"/>
  <c r="G68" i="2"/>
  <c r="I86" i="2"/>
  <c r="C16" i="3"/>
  <c r="K27" i="2"/>
  <c r="K19" i="1"/>
  <c r="J29" i="1"/>
  <c r="J68" i="1"/>
  <c r="J88" i="1"/>
  <c r="J15" i="2"/>
  <c r="I44" i="2"/>
  <c r="G46" i="2"/>
  <c r="J59" i="2"/>
  <c r="H68" i="2"/>
  <c r="B22" i="3"/>
  <c r="J42" i="1"/>
  <c r="J27" i="1"/>
  <c r="J70" i="1"/>
  <c r="K15" i="2"/>
  <c r="C6" i="3"/>
  <c r="J21" i="1"/>
  <c r="I72" i="1"/>
  <c r="I77" i="1" s="1"/>
  <c r="I78" i="1" s="1"/>
  <c r="H93" i="1"/>
  <c r="J88" i="2"/>
  <c r="B28" i="3"/>
  <c r="G21" i="1"/>
  <c r="K75" i="1" l="1"/>
  <c r="J75" i="1"/>
  <c r="C30" i="3"/>
  <c r="H48" i="1"/>
  <c r="H90" i="1"/>
  <c r="H47" i="1"/>
  <c r="J46" i="1"/>
  <c r="K46" i="1"/>
  <c r="K86" i="2"/>
  <c r="J86" i="2"/>
  <c r="J72" i="1"/>
  <c r="H77" i="1"/>
  <c r="K72" i="1"/>
  <c r="I46" i="2"/>
  <c r="I71" i="2"/>
  <c r="G75" i="2"/>
  <c r="G69" i="2"/>
  <c r="G76" i="2" s="1"/>
  <c r="G90" i="2"/>
  <c r="G47" i="2"/>
  <c r="N48" i="2" s="1"/>
  <c r="G72" i="2" s="1"/>
  <c r="G77" i="2" s="1"/>
  <c r="G78" i="2" s="1"/>
  <c r="J87" i="1"/>
  <c r="K87" i="1"/>
  <c r="K21" i="2"/>
  <c r="J21" i="2"/>
  <c r="H93" i="2"/>
  <c r="K69" i="2"/>
  <c r="J69" i="2"/>
  <c r="H76" i="2"/>
  <c r="G93" i="2"/>
  <c r="K73" i="2"/>
  <c r="I74" i="2"/>
  <c r="J71" i="1"/>
  <c r="K71" i="1"/>
  <c r="G47" i="1"/>
  <c r="G48" i="1" s="1"/>
  <c r="G90" i="1"/>
  <c r="I93" i="1"/>
  <c r="B12" i="3"/>
  <c r="I94" i="1"/>
  <c r="G93" i="1"/>
  <c r="G85" i="1"/>
  <c r="K21" i="1"/>
  <c r="J73" i="2"/>
  <c r="K76" i="1"/>
  <c r="J76" i="1"/>
  <c r="K87" i="2"/>
  <c r="J87" i="2"/>
  <c r="K68" i="2"/>
  <c r="J68" i="2"/>
  <c r="H75" i="2"/>
  <c r="K44" i="2"/>
  <c r="H46" i="2"/>
  <c r="J44" i="2"/>
  <c r="H71" i="2"/>
  <c r="K93" i="1"/>
  <c r="J93" i="1"/>
  <c r="I85" i="1"/>
  <c r="J85" i="1" s="1"/>
  <c r="J73" i="1"/>
  <c r="K73" i="1" s="1"/>
  <c r="H85" i="2"/>
  <c r="G77" i="1"/>
  <c r="G78" i="1" s="1"/>
  <c r="I48" i="1"/>
  <c r="G50" i="1" l="1"/>
  <c r="G92" i="1"/>
  <c r="K76" i="2"/>
  <c r="J76" i="2"/>
  <c r="I92" i="1"/>
  <c r="B32" i="3"/>
  <c r="I50" i="1"/>
  <c r="K71" i="2"/>
  <c r="J71" i="2"/>
  <c r="K85" i="1"/>
  <c r="K47" i="1"/>
  <c r="J47" i="1"/>
  <c r="C31" i="3"/>
  <c r="G48" i="2"/>
  <c r="K90" i="1"/>
  <c r="J90" i="1"/>
  <c r="I90" i="2"/>
  <c r="I47" i="2"/>
  <c r="M48" i="2" s="1"/>
  <c r="I72" i="2" s="1"/>
  <c r="I77" i="2" s="1"/>
  <c r="I78" i="2" s="1"/>
  <c r="I48" i="2"/>
  <c r="K93" i="2"/>
  <c r="J93" i="2"/>
  <c r="K77" i="1"/>
  <c r="J77" i="1"/>
  <c r="H78" i="1"/>
  <c r="H50" i="1"/>
  <c r="J48" i="1"/>
  <c r="C32" i="3"/>
  <c r="K48" i="1"/>
  <c r="H92" i="1"/>
  <c r="J85" i="2"/>
  <c r="K85" i="2"/>
  <c r="J46" i="2"/>
  <c r="H47" i="2"/>
  <c r="K46" i="2"/>
  <c r="H90" i="2"/>
  <c r="P93" i="2"/>
  <c r="N93" i="2"/>
  <c r="K75" i="2"/>
  <c r="J75" i="2"/>
  <c r="I84" i="1" l="1"/>
  <c r="I53" i="1"/>
  <c r="B36" i="3" s="1"/>
  <c r="I89" i="1"/>
  <c r="I58" i="1"/>
  <c r="B34" i="3"/>
  <c r="J90" i="2"/>
  <c r="K90" i="2"/>
  <c r="G50" i="2"/>
  <c r="G92" i="2"/>
  <c r="K92" i="1"/>
  <c r="J92" i="1"/>
  <c r="K47" i="2"/>
  <c r="J47" i="2"/>
  <c r="L48" i="2"/>
  <c r="H72" i="2" s="1"/>
  <c r="I92" i="2"/>
  <c r="I50" i="2"/>
  <c r="H53" i="1"/>
  <c r="K50" i="1"/>
  <c r="H58" i="1"/>
  <c r="C34" i="3"/>
  <c r="J50" i="1"/>
  <c r="H48" i="2"/>
  <c r="K78" i="1"/>
  <c r="J78" i="1"/>
  <c r="G58" i="1"/>
  <c r="G53" i="1"/>
  <c r="G53" i="2" l="1"/>
  <c r="G58" i="2"/>
  <c r="K48" i="2"/>
  <c r="H92" i="2"/>
  <c r="H50" i="2"/>
  <c r="J48" i="2"/>
  <c r="K58" i="1"/>
  <c r="J58" i="1"/>
  <c r="C36" i="3"/>
  <c r="H32" i="1"/>
  <c r="J53" i="1"/>
  <c r="K53" i="1"/>
  <c r="I58" i="2"/>
  <c r="I89" i="2"/>
  <c r="I84" i="2"/>
  <c r="I53" i="2"/>
  <c r="H77" i="2"/>
  <c r="K72" i="2"/>
  <c r="J72" i="2"/>
  <c r="N92" i="2"/>
  <c r="P92" i="2"/>
  <c r="H58" i="2" l="1"/>
  <c r="K50" i="2"/>
  <c r="H53" i="2"/>
  <c r="J50" i="2"/>
  <c r="H33" i="1"/>
  <c r="K32" i="1"/>
  <c r="C21" i="3"/>
  <c r="G32" i="1"/>
  <c r="J32" i="1"/>
  <c r="H84" i="1"/>
  <c r="K92" i="2"/>
  <c r="J92" i="2"/>
  <c r="H78" i="2"/>
  <c r="K77" i="2"/>
  <c r="J77" i="2"/>
  <c r="K33" i="1" l="1"/>
  <c r="C22" i="3"/>
  <c r="H60" i="1"/>
  <c r="J33" i="1"/>
  <c r="H94" i="1"/>
  <c r="H34" i="1"/>
  <c r="H89" i="1"/>
  <c r="K78" i="2"/>
  <c r="J78" i="2"/>
  <c r="H32" i="2"/>
  <c r="J53" i="2"/>
  <c r="K53" i="2"/>
  <c r="K84" i="1"/>
  <c r="J84" i="1"/>
  <c r="G33" i="1"/>
  <c r="G84" i="1"/>
  <c r="J58" i="2"/>
  <c r="K58" i="2"/>
  <c r="K94" i="1" l="1"/>
  <c r="J94" i="1"/>
  <c r="G60" i="1"/>
  <c r="G88" i="1"/>
  <c r="G34" i="1"/>
  <c r="G94" i="1"/>
  <c r="G89" i="1"/>
  <c r="K34" i="1"/>
  <c r="J34" i="1"/>
  <c r="C23" i="3"/>
  <c r="H74" i="1"/>
  <c r="J74" i="1" s="1"/>
  <c r="K74" i="1" s="1"/>
  <c r="G32" i="2"/>
  <c r="H33" i="2"/>
  <c r="J32" i="2"/>
  <c r="K32" i="2"/>
  <c r="H84" i="2"/>
  <c r="K89" i="1"/>
  <c r="J89" i="1"/>
  <c r="J60" i="1"/>
  <c r="K60" i="1"/>
  <c r="H60" i="2" l="1"/>
  <c r="K33" i="2"/>
  <c r="J33" i="2"/>
  <c r="H34" i="2"/>
  <c r="H94" i="2"/>
  <c r="H89" i="2"/>
  <c r="G33" i="2"/>
  <c r="G84" i="2"/>
  <c r="J84" i="2"/>
  <c r="K84" i="2"/>
  <c r="K89" i="2" l="1"/>
  <c r="J89" i="2"/>
  <c r="J34" i="2"/>
  <c r="K34" i="2"/>
  <c r="H74" i="2"/>
  <c r="J74" i="2" s="1"/>
  <c r="K74" i="2" s="1"/>
  <c r="G60" i="2"/>
  <c r="G88" i="2"/>
  <c r="G34" i="2"/>
  <c r="G94" i="2"/>
  <c r="G89" i="2"/>
  <c r="K94" i="2"/>
  <c r="J94" i="2"/>
  <c r="K60" i="2"/>
  <c r="J60" i="2"/>
  <c r="P94" i="2" l="1"/>
  <c r="N94" i="2"/>
</calcChain>
</file>

<file path=xl/sharedStrings.xml><?xml version="1.0" encoding="utf-8"?>
<sst xmlns="http://schemas.openxmlformats.org/spreadsheetml/2006/main" count="206" uniqueCount="110">
  <si>
    <t>ENTREGABLE 1      -- VALOR AÑADIDO A LA EMPRESA Y CONTROL</t>
  </si>
  <si>
    <t>DATOS</t>
  </si>
  <si>
    <t>AÑO 2</t>
  </si>
  <si>
    <t>AÑO 1</t>
  </si>
  <si>
    <t>AÑO 0</t>
  </si>
  <si>
    <t>VAR (RESTA)</t>
  </si>
  <si>
    <t>VAR (%)</t>
  </si>
  <si>
    <t>PRECIO DE LA ACCION A FIN DE AÑO</t>
  </si>
  <si>
    <t>MILLONES DE ACCIONES A FIN DE AÑO</t>
  </si>
  <si>
    <t>TASA DE IMPUESTO A LAS GANACIAS</t>
  </si>
  <si>
    <t>COSTO PROMEDIO PONDERADO DEL CAPITAL</t>
  </si>
  <si>
    <t>EMPRESA</t>
  </si>
  <si>
    <t>EN MILLONES DE PESOS</t>
  </si>
  <si>
    <t>ACTIVOS</t>
  </si>
  <si>
    <t>CAJA</t>
  </si>
  <si>
    <t>INVERSIONES DE CORTO PLAZO</t>
  </si>
  <si>
    <t>CREDITOS (CUENTAS A COBRAR)</t>
  </si>
  <si>
    <t>INVENTARIOS (BIENES DE CAMBIO)</t>
  </si>
  <si>
    <t>TOTAL DE ACTIVOS CORRIENTES</t>
  </si>
  <si>
    <t>BIENES DE USO NETOS DE AMORTIZACIONES ACUMULADAS</t>
  </si>
  <si>
    <t>TOTAL DE  ACTIVOS</t>
  </si>
  <si>
    <t>PASIVOS Y PATRIMONIO NETO</t>
  </si>
  <si>
    <t>DEUDAS COMERCIALES (CUENTAS A PAGAR)</t>
  </si>
  <si>
    <t>DEUDAS FINANCIERAS DE CORTO PLAZO</t>
  </si>
  <si>
    <t>PROVISIONES (ACUMULACIONES)</t>
  </si>
  <si>
    <t>TOTAL DE PASIVOS CORRIENTES</t>
  </si>
  <si>
    <t>PASIVOS DE LARGO PLAZO (BONOS)</t>
  </si>
  <si>
    <t>TOTAL DE PASIVOS</t>
  </si>
  <si>
    <t>CAPITAL EN ACCIONES PREFERIDAS (400,000 ACCIONES)</t>
  </si>
  <si>
    <t>CAPITAL EN ACCIONES COMUNES (50,000,000 ACCIONES)</t>
  </si>
  <si>
    <t>UTILIDADES ACUMULADAS (RESULTADOS NO ASIGNADOS)</t>
  </si>
  <si>
    <t>PATRIMONIO NETO TOTAL</t>
  </si>
  <si>
    <t>PASIVOS + PATRIMONIO NETO</t>
  </si>
  <si>
    <t>EN MILLONES DE $</t>
  </si>
  <si>
    <t>ESTADO DE RESULTADOS</t>
  </si>
  <si>
    <t>VENTAS</t>
  </si>
  <si>
    <t>COSTOS OPERATIVOS EXCLUYENDO AMORTIZACIONES</t>
  </si>
  <si>
    <t>SUBTOTAL EBITDA</t>
  </si>
  <si>
    <t>AMORTIZACIONES</t>
  </si>
  <si>
    <t>SUBTOTAL EBIT</t>
  </si>
  <si>
    <t>INTERESES PAGADOS</t>
  </si>
  <si>
    <t>SUBTOTAL EBT</t>
  </si>
  <si>
    <t>IMPUESTO A LAS GANANCIAS</t>
  </si>
  <si>
    <t>UTILIDADES ANTES DE RESTAR DIVIDENDOS DE ACCIONES PREFERIDAS</t>
  </si>
  <si>
    <t>DIVIDENDOS DE ACCIONES PREFERIDAS</t>
  </si>
  <si>
    <t>UTILIDADES DISPONIBLES PARA LOS ACCIONISTAS COMUNES</t>
  </si>
  <si>
    <t>DIVIDENDOS DE ACCIONES COMUNES</t>
  </si>
  <si>
    <t>AGREGADO A LAS UTILIDADES ACUMULADAS</t>
  </si>
  <si>
    <t xml:space="preserve"> </t>
  </si>
  <si>
    <t>DATOS POR ACCION</t>
  </si>
  <si>
    <t>UTILIDADES POR ACCION UPA (EPS)</t>
  </si>
  <si>
    <t>DIVIDENDOS POR ACCION DPA (DPS)</t>
  </si>
  <si>
    <t>VALOR DE LIBROS POR ACCION VLPS (BVPS)</t>
  </si>
  <si>
    <t>ANALICE LOS NÜMEROS DE ESTA EMPRESA DESDE UNA PERSPECTIVA FINANCIERA:</t>
  </si>
  <si>
    <t xml:space="preserve">CONTROLE LA GESTION  A PARTIR DE DETERMINAR CUANTO VALOR SE HA GENERADO O DESTRUIDO </t>
  </si>
  <si>
    <t>DURANTE EL AÑO.</t>
  </si>
  <si>
    <t xml:space="preserve">AÑO 0 </t>
  </si>
  <si>
    <t>CAPITAL DE TRABAJO OPERATIVO (NO incluye inversiones corrientes y deuda financiera de corto plazo)</t>
  </si>
  <si>
    <t>CAPITAL OPERATIVO TOTAL</t>
  </si>
  <si>
    <t>CRÉDITOS A COBRAR / (CRÉDITOS A COBRAR / VENTAS) *  365</t>
  </si>
  <si>
    <t>GANANCIAS ANTES DE INTERESES E IMPUESTOS (EBIT)</t>
  </si>
  <si>
    <t>NOPAT =&gt; EBIT * (1 - %IIGG)</t>
  </si>
  <si>
    <t>TASA DE INTERÉS S/DEUDA TOTAL</t>
  </si>
  <si>
    <t>COSTO DEL DINERO DE LA EMPRESA =&gt; kL = (WACC - (i * (1 - tax) * ( D / D + E)))  / (E / D + E)</t>
  </si>
  <si>
    <t>COSTO TOTAL DEL DINERO =&gt; WACC * CAPITAL DE TRABAJO OPERATIVO</t>
  </si>
  <si>
    <t>TOC =&gt; WACC * CAPITAL OPERATIVO TOTAL</t>
  </si>
  <si>
    <t>EVA</t>
  </si>
  <si>
    <t>EVA / TOC</t>
  </si>
  <si>
    <t xml:space="preserve">A PARTIR DE DICHA DETERMINACION INFORME COMO SU CONTROL DE GESTION LE PERMITE PENSAR </t>
  </si>
  <si>
    <r>
      <rPr>
        <b/>
        <sz val="10"/>
        <color theme="1"/>
        <rFont val="Calibri"/>
        <family val="2"/>
      </rPr>
      <t xml:space="preserve">MEJORAS - QUÉ ASPECTOS SEÑALARÍA SUSCEPTIBLES DE MEJORA? </t>
    </r>
    <r>
      <rPr>
        <b/>
        <sz val="10"/>
        <color rgb="FFFF0000"/>
        <rFont val="Calibri"/>
        <family val="2"/>
      </rPr>
      <t>Proponga mejoras</t>
    </r>
  </si>
  <si>
    <t>COMPLEMENTE SU ANALISIS DETERMINANDO:</t>
  </si>
  <si>
    <t>(UTILIDADES DISPONIBLES A ACCIONISTAS COMUNES) / (CAPITAL EN ACCIONES COMUNES + UTILIDADES ACUMULADAS)</t>
  </si>
  <si>
    <t>DEUDA TOTAL / ACTIVO TOTAL</t>
  </si>
  <si>
    <t>ACTIVO CORRIENTE TOTAL / PASIVO CORRIENTE TOTAL</t>
  </si>
  <si>
    <t>DEUDA CP / DEUDA LP</t>
  </si>
  <si>
    <t>DEUDA / PN</t>
  </si>
  <si>
    <t>RENTABILIDAD =&gt; ROE</t>
  </si>
  <si>
    <t>UAIIG / Intereses</t>
  </si>
  <si>
    <t>MODELO DE DUPONT:</t>
  </si>
  <si>
    <t>MARGEN NETO = UTILIDADES NETAS / VENTAS</t>
  </si>
  <si>
    <t>ROTACIÓN DE ACTIVOS = VENTAS / ACTIVOS</t>
  </si>
  <si>
    <t>MULTIPLICADOR DE APALANCAMIENTO FINANCIERO = ACTIVOS / PATRIMONIO NETO</t>
  </si>
  <si>
    <t>Aumentando los precios de venta un 3.33 % ($3100) hago que el EVA sea positivo</t>
  </si>
  <si>
    <t>NOPAT =&gt; EBIT * (1-%IIGG)</t>
  </si>
  <si>
    <t>COSTO DEL DINERO DE LA EMPRESA =&gt; kL = (WACC - (i * (1 - tax) * (D/D+E)))  / (E/D+E)</t>
  </si>
  <si>
    <t>EVA EN CADA AÑO</t>
  </si>
  <si>
    <t>EVA/TOC EN CADA AÑO</t>
  </si>
  <si>
    <r>
      <rPr>
        <b/>
        <sz val="10"/>
        <color theme="1"/>
        <rFont val="Calibri"/>
        <family val="2"/>
      </rPr>
      <t xml:space="preserve">MEJORAS - QUÉ ASPECTOS SEÑALARÍA SUSCEPTIBLES DE MEJORA? </t>
    </r>
    <r>
      <rPr>
        <b/>
        <sz val="10"/>
        <color rgb="FFFF0000"/>
        <rFont val="Calibri"/>
        <family val="2"/>
      </rPr>
      <t>Proponga mejoras</t>
    </r>
  </si>
  <si>
    <t>(UTILIDADES DISPONIBLES A ACCIONISTAS COMUNES)/(CAPITAL EN ACCIONES COMUNES+UTILIDADES ACUMULADAS)</t>
  </si>
  <si>
    <t>(DEUDA TOTAL/ACTIVO TOTAL)</t>
  </si>
  <si>
    <t>(ACTIVO CORRIENTE TOTAL/PASIVO CORRIENTE TOTAL)</t>
  </si>
  <si>
    <t>(DEUDA CP/DEUDA LP)</t>
  </si>
  <si>
    <t>(DEUDA/PN)</t>
  </si>
  <si>
    <t>UAIIG/ Intereses</t>
  </si>
  <si>
    <t>Proyección año II</t>
  </si>
  <si>
    <t>Si AÑO I hubiera sido como AÑO II</t>
  </si>
  <si>
    <t>MAL USO DE ACTIVOS</t>
  </si>
  <si>
    <t>MAL USO DEL APALANCAMIENTO</t>
  </si>
  <si>
    <t>Una menor rotación de activos significa que la empresa está generando menos ingresos por cada peso invertido en sus activos. Es decir, la empresa no está utilizando eficientemente sus activos para generar ventas. Una baja rotación de activos puede ser indicativo de problemas en la gestión de inventarios, una disminución en la demanda de productos o servicios, o una ineficiente gestión de la producción o distribución.</t>
  </si>
  <si>
    <t>Por lo tanto, una empresa con una baja rotación de activos debe evaluar sus procesos y estrategias para mejorar su eficiencia y rentabilidad. Al mejorar la rotación de activos, se puede generar un mayor volumen de ventas con menos inversión en activos, lo que puede mejorar la rentabilidad y el valor para los accionistas.</t>
  </si>
  <si>
    <t>Bajar los plazos de cobro</t>
  </si>
  <si>
    <t>Bajar stock</t>
  </si>
  <si>
    <t>Mejorar gestion y entrega de productos</t>
  </si>
  <si>
    <t>Un mayor multiplicador de apalancamiento financiero indica que la empresa está financiando una mayor proporción de sus activos mediante deuda. El apalancamiento financiero se refiere al uso de deuda para financiar las operaciones de la empresa. Al tomar prestado dinero, la empresa puede aumentar su potencial de crecimiento y aumentar sus retornos a los accionistas. Sin embargo, también aumenta el riesgo ya que la empresa debe pagar intereses y capital en su deuda, lo que puede ser difícil si los ingresos no son suficientes para cubrir estos pagos. Por lo tanto, el apalancamiento financiero es una herramienta que puede ayudar a las empresas a aumentar sus rendimientos, pero también puede aumentar su riesgo financiero.</t>
  </si>
  <si>
    <t>Bajar costo de la deuda (tasa de interes)</t>
  </si>
  <si>
    <t>Plazos más largos. Endeudarse más a largo que a corto.</t>
  </si>
  <si>
    <t>Vender activos para saldar deuda? (mejora gestión de los activos?)</t>
  </si>
  <si>
    <t>Emitir acciones?</t>
  </si>
  <si>
    <t>CUENTAS DE BALANCE</t>
  </si>
  <si>
    <t>CAPITAL DE TRABAJO OPERATIVO y Provisiones (NO incluye inversiones corrientes y deuda financiera de CP)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</si>
</sst>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
    <numFmt numFmtId="165" formatCode="0.0%"/>
    <numFmt numFmtId="166" formatCode="#,##0.0"/>
    <numFmt numFmtId="167" formatCode="&quot;$&quot;#,##0"/>
    <numFmt numFmtId="168" formatCode="&quot;$&quot;#,##0.0"/>
    <numFmt numFmtId="169" formatCode="&quot;$&quot;#,##0.00000"/>
  </numFmts>
  <fonts count="13" x14ac:knownFonts="1">
    <font>
      <sz val="10"/>
      <color rgb="FF000000"/>
      <name val="Arial"/>
      <scheme val="minor"/>
    </font>
    <font>
      <sz val="10"/>
      <color theme="1"/>
      <name val="Arial Black"/>
      <family val="2"/>
    </font>
    <font>
      <sz val="10"/>
      <name val="Arial"/>
      <family val="2"/>
    </font>
    <font>
      <b/>
      <sz val="10"/>
      <color rgb="FF0000FF"/>
      <name val="Calibri"/>
      <family val="2"/>
    </font>
    <font>
      <b/>
      <i/>
      <sz val="10"/>
      <color theme="1"/>
      <name val="Calibri"/>
      <family val="2"/>
    </font>
    <font>
      <b/>
      <sz val="10"/>
      <color theme="1"/>
      <name val="Calibri"/>
      <family val="2"/>
    </font>
    <font>
      <sz val="8"/>
      <color theme="7"/>
      <name val="Quattrocento Sans"/>
      <family val="2"/>
    </font>
    <font>
      <b/>
      <sz val="10"/>
      <color rgb="FF800000"/>
      <name val="Calibri"/>
      <family val="2"/>
    </font>
    <font>
      <sz val="10"/>
      <color theme="1"/>
      <name val="Arial"/>
      <family val="2"/>
    </font>
    <font>
      <sz val="10"/>
      <color theme="1"/>
      <name val="Arial"/>
      <family val="2"/>
      <scheme val="minor"/>
    </font>
    <font>
      <sz val="8"/>
      <color rgb="FF8064A2"/>
      <name val="Quattrocento Sans"/>
      <family val="2"/>
    </font>
    <font>
      <sz val="8"/>
      <color rgb="FF374151"/>
      <name val="Quattrocento Sans"/>
      <family val="2"/>
    </font>
    <font>
      <b/>
      <sz val="10"/>
      <color rgb="FFFF0000"/>
      <name val="Calibri"/>
      <family val="2"/>
    </font>
  </fonts>
  <fills count="8">
    <fill>
      <patternFill patternType="none"/>
    </fill>
    <fill>
      <patternFill patternType="gray125"/>
    </fill>
    <fill>
      <patternFill patternType="solid">
        <fgColor rgb="FFFFFFCC"/>
        <bgColor rgb="FFFFFFCC"/>
      </patternFill>
    </fill>
    <fill>
      <patternFill patternType="solid">
        <fgColor rgb="FFFFFF00"/>
        <bgColor rgb="FFFFFF00"/>
      </patternFill>
    </fill>
    <fill>
      <patternFill patternType="solid">
        <fgColor rgb="FFFFFFFF"/>
        <bgColor rgb="FFFFFFFF"/>
      </patternFill>
    </fill>
    <fill>
      <patternFill patternType="solid">
        <fgColor rgb="FFFABF8F"/>
        <bgColor rgb="FFFABF8F"/>
      </patternFill>
    </fill>
    <fill>
      <patternFill patternType="solid">
        <fgColor rgb="FFFFC000"/>
        <bgColor rgb="FFFFC000"/>
      </patternFill>
    </fill>
    <fill>
      <patternFill patternType="solid">
        <fgColor rgb="FFC00000"/>
        <bgColor rgb="FFC00000"/>
      </patternFill>
    </fill>
  </fills>
  <borders count="26">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top/>
      <bottom/>
      <diagonal/>
    </border>
    <border>
      <left/>
      <right style="medium">
        <color rgb="FF000000"/>
      </right>
      <top/>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style="medium">
        <color rgb="FF000000"/>
      </right>
      <top/>
      <bottom style="thin">
        <color rgb="FF000000"/>
      </bottom>
      <diagonal/>
    </border>
    <border>
      <left/>
      <right/>
      <top style="thin">
        <color rgb="FF000000"/>
      </top>
      <bottom style="double">
        <color rgb="FF000000"/>
      </bottom>
      <diagonal/>
    </border>
    <border>
      <left/>
      <right style="medium">
        <color rgb="FF000000"/>
      </right>
      <top style="thin">
        <color rgb="FF000000"/>
      </top>
      <bottom style="double">
        <color rgb="FF000000"/>
      </bottom>
      <diagonal/>
    </border>
    <border>
      <left style="medium">
        <color rgb="FF000000"/>
      </left>
      <right/>
      <top/>
      <bottom style="medium">
        <color rgb="FF000000"/>
      </bottom>
      <diagonal/>
    </border>
    <border>
      <left/>
      <right/>
      <top style="thin">
        <color rgb="FF000000"/>
      </top>
      <bottom style="medium">
        <color rgb="FF000000"/>
      </bottom>
      <diagonal/>
    </border>
    <border>
      <left/>
      <right style="medium">
        <color rgb="FF000000"/>
      </right>
      <top style="thin">
        <color rgb="FF000000"/>
      </top>
      <bottom style="medium">
        <color rgb="FF000000"/>
      </bottom>
      <diagonal/>
    </border>
    <border>
      <left/>
      <right/>
      <top/>
      <bottom/>
      <diagonal/>
    </border>
    <border>
      <left/>
      <right/>
      <top/>
      <bottom/>
      <diagonal/>
    </border>
    <border>
      <left/>
      <right/>
      <top/>
      <bottom/>
      <diagonal/>
    </border>
    <border>
      <left/>
      <right/>
      <top/>
      <bottom/>
      <diagonal/>
    </border>
  </borders>
  <cellStyleXfs count="1">
    <xf numFmtId="0" fontId="0" fillId="0" borderId="0"/>
  </cellStyleXfs>
  <cellXfs count="104">
    <xf numFmtId="0" fontId="0" fillId="0" borderId="0" xfId="0"/>
    <xf numFmtId="0" fontId="3" fillId="0" borderId="0" xfId="0" applyFont="1"/>
    <xf numFmtId="0" fontId="4" fillId="0" borderId="0" xfId="0" applyFont="1"/>
    <xf numFmtId="0" fontId="5" fillId="0" borderId="0" xfId="0" applyFont="1"/>
    <xf numFmtId="0" fontId="5" fillId="0" borderId="0" xfId="0" applyFont="1" applyAlignment="1">
      <alignment horizontal="center"/>
    </xf>
    <xf numFmtId="0" fontId="5" fillId="0" borderId="5" xfId="0" applyFont="1" applyBorder="1" applyAlignment="1">
      <alignment horizontal="right"/>
    </xf>
    <xf numFmtId="164" fontId="5" fillId="0" borderId="0" xfId="0" applyNumberFormat="1" applyFont="1"/>
    <xf numFmtId="4" fontId="5" fillId="0" borderId="0" xfId="0" applyNumberFormat="1" applyFont="1"/>
    <xf numFmtId="3" fontId="5" fillId="0" borderId="0" xfId="0" applyNumberFormat="1" applyFont="1"/>
    <xf numFmtId="0" fontId="6" fillId="0" borderId="0" xfId="0" applyFont="1"/>
    <xf numFmtId="9" fontId="5" fillId="0" borderId="0" xfId="0" applyNumberFormat="1" applyFont="1"/>
    <xf numFmtId="10" fontId="5" fillId="0" borderId="0" xfId="0" applyNumberFormat="1" applyFont="1"/>
    <xf numFmtId="165" fontId="5" fillId="0" borderId="0" xfId="0" applyNumberFormat="1" applyFont="1"/>
    <xf numFmtId="0" fontId="7" fillId="2" borderId="7" xfId="0" applyFont="1" applyFill="1" applyBorder="1"/>
    <xf numFmtId="0" fontId="5" fillId="2" borderId="8" xfId="0" applyFont="1" applyFill="1" applyBorder="1"/>
    <xf numFmtId="166" fontId="5" fillId="2" borderId="8" xfId="0" applyNumberFormat="1" applyFont="1" applyFill="1" applyBorder="1"/>
    <xf numFmtId="0" fontId="5" fillId="2" borderId="9" xfId="0" applyFont="1" applyFill="1" applyBorder="1"/>
    <xf numFmtId="0" fontId="5" fillId="2" borderId="10" xfId="0" applyFont="1" applyFill="1" applyBorder="1"/>
    <xf numFmtId="0" fontId="5" fillId="2" borderId="11" xfId="0" applyFont="1" applyFill="1" applyBorder="1"/>
    <xf numFmtId="166" fontId="5" fillId="2" borderId="11" xfId="0" applyNumberFormat="1" applyFont="1" applyFill="1" applyBorder="1"/>
    <xf numFmtId="0" fontId="5" fillId="2" borderId="12" xfId="0" applyFont="1" applyFill="1" applyBorder="1"/>
    <xf numFmtId="0" fontId="5" fillId="2" borderId="13" xfId="0" applyFont="1" applyFill="1" applyBorder="1" applyAlignment="1">
      <alignment horizontal="right"/>
    </xf>
    <xf numFmtId="0" fontId="5" fillId="2" borderId="14" xfId="0" applyFont="1" applyFill="1" applyBorder="1" applyAlignment="1">
      <alignment horizontal="right"/>
    </xf>
    <xf numFmtId="0" fontId="4" fillId="2" borderId="10" xfId="0" applyFont="1" applyFill="1" applyBorder="1"/>
    <xf numFmtId="166" fontId="5" fillId="2" borderId="12" xfId="0" applyNumberFormat="1" applyFont="1" applyFill="1" applyBorder="1"/>
    <xf numFmtId="167" fontId="5" fillId="2" borderId="11" xfId="0" applyNumberFormat="1" applyFont="1" applyFill="1" applyBorder="1"/>
    <xf numFmtId="167" fontId="5" fillId="2" borderId="12" xfId="0" applyNumberFormat="1" applyFont="1" applyFill="1" applyBorder="1"/>
    <xf numFmtId="10" fontId="5" fillId="2" borderId="12" xfId="0" applyNumberFormat="1" applyFont="1" applyFill="1" applyBorder="1"/>
    <xf numFmtId="168" fontId="5" fillId="2" borderId="15" xfId="0" applyNumberFormat="1" applyFont="1" applyFill="1" applyBorder="1"/>
    <xf numFmtId="167" fontId="5" fillId="2" borderId="15" xfId="0" applyNumberFormat="1" applyFont="1" applyFill="1" applyBorder="1"/>
    <xf numFmtId="167" fontId="5" fillId="2" borderId="16" xfId="0" applyNumberFormat="1" applyFont="1" applyFill="1" applyBorder="1"/>
    <xf numFmtId="10" fontId="5" fillId="2" borderId="16" xfId="0" applyNumberFormat="1" applyFont="1" applyFill="1" applyBorder="1"/>
    <xf numFmtId="0" fontId="8" fillId="0" borderId="0" xfId="0" applyFont="1"/>
    <xf numFmtId="167" fontId="5" fillId="2" borderId="17" xfId="0" applyNumberFormat="1" applyFont="1" applyFill="1" applyBorder="1"/>
    <xf numFmtId="167" fontId="5" fillId="2" borderId="18" xfId="0" applyNumberFormat="1" applyFont="1" applyFill="1" applyBorder="1"/>
    <xf numFmtId="10" fontId="5" fillId="2" borderId="18" xfId="0" applyNumberFormat="1" applyFont="1" applyFill="1" applyBorder="1"/>
    <xf numFmtId="0" fontId="5" fillId="2" borderId="19" xfId="0" applyFont="1" applyFill="1" applyBorder="1"/>
    <xf numFmtId="0" fontId="5" fillId="2" borderId="13" xfId="0" applyFont="1" applyFill="1" applyBorder="1"/>
    <xf numFmtId="167" fontId="5" fillId="2" borderId="20" xfId="0" applyNumberFormat="1" applyFont="1" applyFill="1" applyBorder="1"/>
    <xf numFmtId="167" fontId="5" fillId="2" borderId="21" xfId="0" applyNumberFormat="1" applyFont="1" applyFill="1" applyBorder="1"/>
    <xf numFmtId="10" fontId="5" fillId="2" borderId="21" xfId="0" applyNumberFormat="1" applyFont="1" applyFill="1" applyBorder="1"/>
    <xf numFmtId="167" fontId="8" fillId="0" borderId="0" xfId="0" applyNumberFormat="1" applyFont="1"/>
    <xf numFmtId="10" fontId="8" fillId="0" borderId="0" xfId="0" applyNumberFormat="1" applyFont="1"/>
    <xf numFmtId="0" fontId="4" fillId="2" borderId="8" xfId="0" applyFont="1" applyFill="1" applyBorder="1"/>
    <xf numFmtId="3" fontId="4" fillId="2" borderId="8" xfId="0" applyNumberFormat="1" applyFont="1" applyFill="1" applyBorder="1"/>
    <xf numFmtId="0" fontId="4" fillId="2" borderId="9" xfId="0" applyFont="1" applyFill="1" applyBorder="1"/>
    <xf numFmtId="3" fontId="5" fillId="2" borderId="11" xfId="0" applyNumberFormat="1" applyFont="1" applyFill="1" applyBorder="1"/>
    <xf numFmtId="1" fontId="5" fillId="2" borderId="14" xfId="0" applyNumberFormat="1" applyFont="1" applyFill="1" applyBorder="1" applyAlignment="1">
      <alignment horizontal="right"/>
    </xf>
    <xf numFmtId="1" fontId="5" fillId="2" borderId="12" xfId="0" applyNumberFormat="1" applyFont="1" applyFill="1" applyBorder="1"/>
    <xf numFmtId="168" fontId="5" fillId="2" borderId="11" xfId="0" applyNumberFormat="1" applyFont="1" applyFill="1" applyBorder="1"/>
    <xf numFmtId="168" fontId="5" fillId="2" borderId="12" xfId="0" applyNumberFormat="1" applyFont="1" applyFill="1" applyBorder="1"/>
    <xf numFmtId="168" fontId="5" fillId="2" borderId="16" xfId="0" applyNumberFormat="1" applyFont="1" applyFill="1" applyBorder="1"/>
    <xf numFmtId="0" fontId="5" fillId="2" borderId="10" xfId="0" quotePrefix="1" applyFont="1" applyFill="1" applyBorder="1" applyAlignment="1">
      <alignment horizontal="left"/>
    </xf>
    <xf numFmtId="165" fontId="8" fillId="0" borderId="0" xfId="0" applyNumberFormat="1" applyFont="1"/>
    <xf numFmtId="9" fontId="5" fillId="2" borderId="11" xfId="0" applyNumberFormat="1" applyFont="1" applyFill="1" applyBorder="1"/>
    <xf numFmtId="168" fontId="5" fillId="2" borderId="17" xfId="0" applyNumberFormat="1" applyFont="1" applyFill="1" applyBorder="1"/>
    <xf numFmtId="168" fontId="5" fillId="2" borderId="18" xfId="0" applyNumberFormat="1" applyFont="1" applyFill="1" applyBorder="1"/>
    <xf numFmtId="0" fontId="5" fillId="2" borderId="19" xfId="0" quotePrefix="1" applyFont="1" applyFill="1" applyBorder="1"/>
    <xf numFmtId="0" fontId="5" fillId="2" borderId="14" xfId="0" applyFont="1" applyFill="1" applyBorder="1"/>
    <xf numFmtId="0" fontId="7" fillId="0" borderId="0" xfId="0" applyFont="1"/>
    <xf numFmtId="0" fontId="5" fillId="3" borderId="11" xfId="0" applyFont="1" applyFill="1" applyBorder="1"/>
    <xf numFmtId="0" fontId="8" fillId="3" borderId="11" xfId="0" applyFont="1" applyFill="1" applyBorder="1"/>
    <xf numFmtId="0" fontId="9" fillId="4" borderId="0" xfId="0" applyFont="1" applyFill="1"/>
    <xf numFmtId="0" fontId="5" fillId="4" borderId="11" xfId="0" applyFont="1" applyFill="1" applyBorder="1"/>
    <xf numFmtId="0" fontId="8" fillId="4" borderId="11" xfId="0" applyFont="1" applyFill="1" applyBorder="1"/>
    <xf numFmtId="0" fontId="9" fillId="4" borderId="0" xfId="0" applyFont="1" applyFill="1" applyAlignment="1">
      <alignment horizontal="center"/>
    </xf>
    <xf numFmtId="0" fontId="5" fillId="4" borderId="25" xfId="0" applyFont="1" applyFill="1" applyBorder="1"/>
    <xf numFmtId="0" fontId="8" fillId="4" borderId="25" xfId="0" applyFont="1" applyFill="1" applyBorder="1"/>
    <xf numFmtId="0" fontId="8" fillId="5" borderId="25" xfId="0" applyFont="1" applyFill="1" applyBorder="1"/>
    <xf numFmtId="0" fontId="5" fillId="4" borderId="13" xfId="0" applyFont="1" applyFill="1" applyBorder="1" applyAlignment="1">
      <alignment horizontal="center"/>
    </xf>
    <xf numFmtId="0" fontId="5" fillId="2" borderId="7" xfId="0" applyFont="1" applyFill="1" applyBorder="1"/>
    <xf numFmtId="167" fontId="5" fillId="2" borderId="8" xfId="0" applyNumberFormat="1" applyFont="1" applyFill="1" applyBorder="1"/>
    <xf numFmtId="167" fontId="5" fillId="2" borderId="9" xfId="0" applyNumberFormat="1" applyFont="1" applyFill="1" applyBorder="1"/>
    <xf numFmtId="10" fontId="5" fillId="2" borderId="9" xfId="0" applyNumberFormat="1" applyFont="1" applyFill="1" applyBorder="1"/>
    <xf numFmtId="0" fontId="6" fillId="0" borderId="0" xfId="0" applyFont="1" applyAlignment="1">
      <alignment vertical="center"/>
    </xf>
    <xf numFmtId="0" fontId="10" fillId="0" borderId="0" xfId="0" applyFont="1"/>
    <xf numFmtId="10" fontId="5" fillId="2" borderId="11" xfId="0" applyNumberFormat="1" applyFont="1" applyFill="1" applyBorder="1"/>
    <xf numFmtId="169" fontId="5" fillId="2" borderId="13" xfId="0" applyNumberFormat="1" applyFont="1" applyFill="1" applyBorder="1"/>
    <xf numFmtId="169" fontId="5" fillId="2" borderId="14" xfId="0" applyNumberFormat="1" applyFont="1" applyFill="1" applyBorder="1"/>
    <xf numFmtId="167" fontId="5" fillId="2" borderId="13" xfId="0" applyNumberFormat="1" applyFont="1" applyFill="1" applyBorder="1"/>
    <xf numFmtId="10" fontId="5" fillId="2" borderId="14" xfId="0" applyNumberFormat="1" applyFont="1" applyFill="1" applyBorder="1"/>
    <xf numFmtId="0" fontId="5" fillId="6" borderId="11" xfId="0" applyFont="1" applyFill="1" applyBorder="1"/>
    <xf numFmtId="0" fontId="8" fillId="6" borderId="11" xfId="0" applyFont="1" applyFill="1" applyBorder="1"/>
    <xf numFmtId="10" fontId="5" fillId="2" borderId="8" xfId="0" applyNumberFormat="1" applyFont="1" applyFill="1" applyBorder="1"/>
    <xf numFmtId="10" fontId="5" fillId="2" borderId="13" xfId="0" applyNumberFormat="1" applyFont="1" applyFill="1" applyBorder="1"/>
    <xf numFmtId="0" fontId="11" fillId="0" borderId="0" xfId="0" applyFont="1" applyAlignment="1">
      <alignment vertical="center"/>
    </xf>
    <xf numFmtId="0" fontId="11" fillId="0" borderId="0" xfId="0" applyFont="1"/>
    <xf numFmtId="0" fontId="8" fillId="7" borderId="11" xfId="0" applyFont="1" applyFill="1" applyBorder="1"/>
    <xf numFmtId="0" fontId="9" fillId="0" borderId="0" xfId="0" applyFont="1"/>
    <xf numFmtId="164" fontId="9" fillId="0" borderId="0" xfId="0" applyNumberFormat="1" applyFont="1"/>
    <xf numFmtId="3" fontId="8" fillId="0" borderId="0" xfId="0" applyNumberFormat="1" applyFont="1"/>
    <xf numFmtId="9" fontId="8" fillId="0" borderId="0" xfId="0" applyNumberFormat="1" applyFont="1"/>
    <xf numFmtId="165" fontId="9" fillId="0" borderId="0" xfId="0" applyNumberFormat="1" applyFont="1"/>
    <xf numFmtId="167" fontId="9" fillId="0" borderId="0" xfId="0" applyNumberFormat="1" applyFont="1"/>
    <xf numFmtId="168" fontId="9" fillId="0" borderId="0" xfId="0" applyNumberFormat="1" applyFont="1"/>
    <xf numFmtId="0" fontId="1" fillId="0" borderId="1" xfId="0" applyFont="1" applyBorder="1" applyAlignment="1">
      <alignment horizontal="center"/>
    </xf>
    <xf numFmtId="0" fontId="2" fillId="0" borderId="2" xfId="0" applyFont="1" applyBorder="1"/>
    <xf numFmtId="0" fontId="2" fillId="0" borderId="3" xfId="0" applyFont="1" applyBorder="1"/>
    <xf numFmtId="0" fontId="2" fillId="0" borderId="4" xfId="0" applyFont="1" applyBorder="1"/>
    <xf numFmtId="0" fontId="2" fillId="0" borderId="5" xfId="0" applyFont="1" applyBorder="1"/>
    <xf numFmtId="0" fontId="2" fillId="0" borderId="6" xfId="0" applyFont="1" applyBorder="1"/>
    <xf numFmtId="0" fontId="5" fillId="3" borderId="22" xfId="0" applyFont="1" applyFill="1" applyBorder="1" applyAlignment="1">
      <alignment horizontal="center"/>
    </xf>
    <xf numFmtId="0" fontId="2" fillId="0" borderId="23" xfId="0" applyFont="1" applyBorder="1"/>
    <xf numFmtId="0" fontId="2" fillId="0" borderId="24"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998"/>
  <sheetViews>
    <sheetView showGridLines="0" tabSelected="1" topLeftCell="A73" workbookViewId="0">
      <selection activeCell="H87" sqref="H87"/>
    </sheetView>
  </sheetViews>
  <sheetFormatPr baseColWidth="10" defaultColWidth="12.6328125" defaultRowHeight="15" customHeight="1" x14ac:dyDescent="0.25"/>
  <cols>
    <col min="1" max="1" width="12.6328125" customWidth="1"/>
    <col min="2" max="5" width="10.6328125" customWidth="1"/>
    <col min="6" max="6" width="40.6328125" customWidth="1"/>
    <col min="7" max="7" width="10.6328125" hidden="1" customWidth="1"/>
    <col min="8" max="8" width="10.6328125" customWidth="1"/>
    <col min="9" max="9" width="10.90625" customWidth="1"/>
    <col min="10" max="10" width="9.6328125" customWidth="1"/>
    <col min="11" max="11" width="9.26953125" customWidth="1"/>
    <col min="12" max="26" width="10.6328125" customWidth="1"/>
  </cols>
  <sheetData>
    <row r="1" spans="1:11" ht="12.75" customHeight="1" x14ac:dyDescent="0.25"/>
    <row r="2" spans="1:11" ht="12.75" customHeight="1" x14ac:dyDescent="0.25">
      <c r="B2" s="95" t="s">
        <v>0</v>
      </c>
      <c r="C2" s="96"/>
      <c r="D2" s="96"/>
      <c r="E2" s="96"/>
      <c r="F2" s="96"/>
      <c r="G2" s="96"/>
      <c r="H2" s="96"/>
      <c r="I2" s="97"/>
    </row>
    <row r="3" spans="1:11" ht="12.75" customHeight="1" x14ac:dyDescent="0.25">
      <c r="B3" s="98"/>
      <c r="C3" s="99"/>
      <c r="D3" s="99"/>
      <c r="E3" s="99"/>
      <c r="F3" s="99"/>
      <c r="G3" s="99"/>
      <c r="H3" s="99"/>
      <c r="I3" s="100"/>
    </row>
    <row r="4" spans="1:11" ht="12.75" customHeight="1" x14ac:dyDescent="0.3">
      <c r="B4" s="1" t="s">
        <v>1</v>
      </c>
      <c r="C4" s="2"/>
      <c r="D4" s="2"/>
      <c r="E4" s="2"/>
      <c r="F4" s="2"/>
      <c r="G4" s="2"/>
      <c r="H4" s="2"/>
      <c r="I4" s="2"/>
    </row>
    <row r="5" spans="1:11" ht="12.75" customHeight="1" x14ac:dyDescent="0.3">
      <c r="B5" s="3"/>
      <c r="C5" s="4"/>
      <c r="D5" s="4"/>
      <c r="E5" s="4"/>
      <c r="F5" s="4"/>
      <c r="G5" s="5" t="s">
        <v>2</v>
      </c>
      <c r="H5" s="5" t="s">
        <v>3</v>
      </c>
      <c r="I5" s="5" t="s">
        <v>4</v>
      </c>
      <c r="J5" s="5" t="s">
        <v>5</v>
      </c>
      <c r="K5" s="5" t="s">
        <v>6</v>
      </c>
    </row>
    <row r="6" spans="1:11" ht="12.75" customHeight="1" x14ac:dyDescent="0.3">
      <c r="B6" s="3" t="s">
        <v>7</v>
      </c>
      <c r="C6" s="3"/>
      <c r="D6" s="3"/>
      <c r="E6" s="3"/>
      <c r="F6" s="3"/>
      <c r="G6" s="6">
        <v>23</v>
      </c>
      <c r="H6" s="6">
        <v>23</v>
      </c>
      <c r="I6" s="6">
        <v>26</v>
      </c>
      <c r="J6" s="7">
        <f t="shared" ref="J6:J9" si="0">+H6-I6</f>
        <v>-3</v>
      </c>
      <c r="K6" s="7">
        <f t="shared" ref="K6:K9" si="1">+H6/I6-1</f>
        <v>-0.11538461538461542</v>
      </c>
    </row>
    <row r="7" spans="1:11" ht="12.75" customHeight="1" x14ac:dyDescent="0.3">
      <c r="B7" s="3" t="s">
        <v>8</v>
      </c>
      <c r="C7" s="3"/>
      <c r="D7" s="3"/>
      <c r="E7" s="3"/>
      <c r="F7" s="3"/>
      <c r="G7" s="8">
        <v>50</v>
      </c>
      <c r="H7" s="8">
        <v>50</v>
      </c>
      <c r="I7" s="8">
        <v>50</v>
      </c>
      <c r="J7" s="7">
        <f t="shared" si="0"/>
        <v>0</v>
      </c>
      <c r="K7" s="7">
        <f t="shared" si="1"/>
        <v>0</v>
      </c>
    </row>
    <row r="8" spans="1:11" ht="12.75" customHeight="1" x14ac:dyDescent="0.3">
      <c r="A8" s="9"/>
      <c r="B8" s="3" t="s">
        <v>9</v>
      </c>
      <c r="C8" s="3"/>
      <c r="D8" s="3"/>
      <c r="E8" s="3"/>
      <c r="F8" s="3"/>
      <c r="G8" s="10">
        <v>0.4</v>
      </c>
      <c r="H8" s="10">
        <v>0.4</v>
      </c>
      <c r="I8" s="10">
        <v>0.4</v>
      </c>
      <c r="J8" s="11">
        <f t="shared" si="0"/>
        <v>0</v>
      </c>
      <c r="K8" s="11">
        <f t="shared" si="1"/>
        <v>0</v>
      </c>
    </row>
    <row r="9" spans="1:11" ht="12.75" customHeight="1" x14ac:dyDescent="0.3">
      <c r="A9" s="9"/>
      <c r="B9" s="3" t="s">
        <v>10</v>
      </c>
      <c r="C9" s="3"/>
      <c r="D9" s="3"/>
      <c r="E9" s="3"/>
      <c r="F9" s="3"/>
      <c r="G9" s="12">
        <v>0.112</v>
      </c>
      <c r="H9" s="12">
        <v>0.11</v>
      </c>
      <c r="I9" s="12">
        <v>0.108</v>
      </c>
      <c r="J9" s="11">
        <f t="shared" si="0"/>
        <v>2.0000000000000018E-3</v>
      </c>
      <c r="K9" s="11">
        <f t="shared" si="1"/>
        <v>1.8518518518518601E-2</v>
      </c>
    </row>
    <row r="10" spans="1:11" ht="12.75" customHeight="1" x14ac:dyDescent="0.3">
      <c r="B10" s="3"/>
      <c r="C10" s="3"/>
      <c r="D10" s="3"/>
      <c r="E10" s="3"/>
      <c r="F10" s="3"/>
      <c r="G10" s="3"/>
      <c r="H10" s="3"/>
      <c r="I10" s="3"/>
    </row>
    <row r="11" spans="1:11" ht="12.75" customHeight="1" x14ac:dyDescent="0.3">
      <c r="B11" s="13" t="s">
        <v>11</v>
      </c>
      <c r="C11" s="14"/>
      <c r="D11" s="15"/>
      <c r="E11" s="15"/>
      <c r="F11" s="15"/>
      <c r="G11" s="14"/>
      <c r="H11" s="14"/>
      <c r="I11" s="16"/>
      <c r="J11" s="14"/>
      <c r="K11" s="16"/>
    </row>
    <row r="12" spans="1:11" ht="12.75" customHeight="1" x14ac:dyDescent="0.3">
      <c r="B12" s="17" t="s">
        <v>12</v>
      </c>
      <c r="C12" s="18"/>
      <c r="D12" s="19"/>
      <c r="E12" s="19"/>
      <c r="F12" s="19"/>
      <c r="G12" s="18"/>
      <c r="H12" s="18"/>
      <c r="I12" s="20"/>
      <c r="J12" s="18"/>
      <c r="K12" s="20"/>
    </row>
    <row r="13" spans="1:11" ht="12.75" customHeight="1" x14ac:dyDescent="0.3">
      <c r="B13" s="17"/>
      <c r="C13" s="18"/>
      <c r="D13" s="18"/>
      <c r="E13" s="18"/>
      <c r="F13" s="18"/>
      <c r="G13" s="21" t="str">
        <f t="shared" ref="G13:I13" si="2">G5</f>
        <v>AÑO 2</v>
      </c>
      <c r="H13" s="21" t="str">
        <f t="shared" si="2"/>
        <v>AÑO 1</v>
      </c>
      <c r="I13" s="22" t="str">
        <f t="shared" si="2"/>
        <v>AÑO 0</v>
      </c>
      <c r="J13" s="21" t="s">
        <v>5</v>
      </c>
      <c r="K13" s="22" t="s">
        <v>6</v>
      </c>
    </row>
    <row r="14" spans="1:11" ht="12.75" customHeight="1" x14ac:dyDescent="0.3">
      <c r="B14" s="23" t="s">
        <v>13</v>
      </c>
      <c r="C14" s="18"/>
      <c r="D14" s="18"/>
      <c r="E14" s="18"/>
      <c r="F14" s="18"/>
      <c r="G14" s="18"/>
      <c r="H14" s="18"/>
      <c r="I14" s="24"/>
      <c r="J14" s="18"/>
      <c r="K14" s="24"/>
    </row>
    <row r="15" spans="1:11" ht="12.75" customHeight="1" x14ac:dyDescent="0.3">
      <c r="B15" s="17" t="s">
        <v>14</v>
      </c>
      <c r="C15" s="18"/>
      <c r="D15" s="18"/>
      <c r="E15" s="18"/>
      <c r="F15" s="18"/>
      <c r="G15" s="25">
        <f t="shared" ref="G15:H15" si="3">H107</f>
        <v>0</v>
      </c>
      <c r="H15" s="25">
        <f t="shared" si="3"/>
        <v>0</v>
      </c>
      <c r="I15" s="26">
        <v>15</v>
      </c>
      <c r="J15" s="25">
        <f t="shared" ref="J15:J21" si="4">+H15-I15</f>
        <v>-15</v>
      </c>
      <c r="K15" s="27">
        <f t="shared" ref="K15:K21" si="5">+H15/I15-1</f>
        <v>-1</v>
      </c>
    </row>
    <row r="16" spans="1:11" ht="12.75" customHeight="1" x14ac:dyDescent="0.3">
      <c r="B16" s="17" t="s">
        <v>15</v>
      </c>
      <c r="C16" s="18"/>
      <c r="D16" s="18"/>
      <c r="E16" s="18"/>
      <c r="F16" s="18"/>
      <c r="G16" s="25">
        <v>0</v>
      </c>
      <c r="H16" s="25">
        <v>0</v>
      </c>
      <c r="I16" s="26">
        <v>65</v>
      </c>
      <c r="J16" s="25">
        <f t="shared" si="4"/>
        <v>-65</v>
      </c>
      <c r="K16" s="27">
        <f t="shared" si="5"/>
        <v>-1</v>
      </c>
    </row>
    <row r="17" spans="2:13" ht="12.75" customHeight="1" x14ac:dyDescent="0.3">
      <c r="B17" s="17" t="s">
        <v>16</v>
      </c>
      <c r="C17" s="18"/>
      <c r="D17" s="18"/>
      <c r="E17" s="18"/>
      <c r="F17" s="18"/>
      <c r="G17" s="25">
        <v>375</v>
      </c>
      <c r="H17" s="25">
        <v>375</v>
      </c>
      <c r="I17" s="26">
        <v>315</v>
      </c>
      <c r="J17" s="25">
        <f t="shared" si="4"/>
        <v>60</v>
      </c>
      <c r="K17" s="27">
        <f t="shared" si="5"/>
        <v>0.19047619047619047</v>
      </c>
    </row>
    <row r="18" spans="2:13" ht="12.75" customHeight="1" x14ac:dyDescent="0.3">
      <c r="B18" s="17" t="s">
        <v>17</v>
      </c>
      <c r="C18" s="18"/>
      <c r="D18" s="18"/>
      <c r="E18" s="18"/>
      <c r="F18" s="18"/>
      <c r="G18" s="28">
        <v>615</v>
      </c>
      <c r="H18" s="29">
        <v>615</v>
      </c>
      <c r="I18" s="30">
        <v>415</v>
      </c>
      <c r="J18" s="29">
        <f t="shared" si="4"/>
        <v>200</v>
      </c>
      <c r="K18" s="31">
        <f t="shared" si="5"/>
        <v>0.48192771084337349</v>
      </c>
      <c r="M18" s="32"/>
    </row>
    <row r="19" spans="2:13" ht="12.75" customHeight="1" x14ac:dyDescent="0.3">
      <c r="B19" s="17" t="s">
        <v>18</v>
      </c>
      <c r="C19" s="18"/>
      <c r="D19" s="18"/>
      <c r="E19" s="18"/>
      <c r="F19" s="18"/>
      <c r="G19" s="25">
        <f t="shared" ref="G19:I19" si="6">SUM(G15:G18)</f>
        <v>990</v>
      </c>
      <c r="H19" s="25">
        <f t="shared" si="6"/>
        <v>990</v>
      </c>
      <c r="I19" s="26">
        <f t="shared" si="6"/>
        <v>810</v>
      </c>
      <c r="J19" s="25">
        <f t="shared" si="4"/>
        <v>180</v>
      </c>
      <c r="K19" s="27">
        <f t="shared" si="5"/>
        <v>0.22222222222222232</v>
      </c>
    </row>
    <row r="20" spans="2:13" ht="12.75" customHeight="1" x14ac:dyDescent="0.3">
      <c r="B20" s="17" t="s">
        <v>19</v>
      </c>
      <c r="C20" s="18"/>
      <c r="D20" s="18"/>
      <c r="E20" s="18"/>
      <c r="F20" s="18"/>
      <c r="G20" s="25">
        <v>1000</v>
      </c>
      <c r="H20" s="25">
        <v>1000</v>
      </c>
      <c r="I20" s="26">
        <v>870</v>
      </c>
      <c r="J20" s="25">
        <f t="shared" si="4"/>
        <v>130</v>
      </c>
      <c r="K20" s="27">
        <f t="shared" si="5"/>
        <v>0.14942528735632177</v>
      </c>
    </row>
    <row r="21" spans="2:13" ht="12.75" customHeight="1" x14ac:dyDescent="0.3">
      <c r="B21" s="17" t="s">
        <v>20</v>
      </c>
      <c r="C21" s="18"/>
      <c r="D21" s="18"/>
      <c r="E21" s="18"/>
      <c r="F21" s="18"/>
      <c r="G21" s="33">
        <f t="shared" ref="G21:I21" si="7">SUM(G19:G20)</f>
        <v>1990</v>
      </c>
      <c r="H21" s="33">
        <f t="shared" si="7"/>
        <v>1990</v>
      </c>
      <c r="I21" s="34">
        <f t="shared" si="7"/>
        <v>1680</v>
      </c>
      <c r="J21" s="33">
        <f t="shared" si="4"/>
        <v>310</v>
      </c>
      <c r="K21" s="35">
        <f t="shared" si="5"/>
        <v>0.18452380952380953</v>
      </c>
    </row>
    <row r="22" spans="2:13" ht="12.75" customHeight="1" x14ac:dyDescent="0.3">
      <c r="B22" s="17"/>
      <c r="C22" s="18"/>
      <c r="D22" s="18"/>
      <c r="E22" s="18"/>
      <c r="F22" s="18"/>
      <c r="G22" s="25"/>
      <c r="H22" s="25"/>
      <c r="I22" s="26"/>
      <c r="J22" s="25"/>
      <c r="K22" s="27"/>
    </row>
    <row r="23" spans="2:13" ht="12.75" customHeight="1" x14ac:dyDescent="0.3">
      <c r="B23" s="23" t="s">
        <v>21</v>
      </c>
      <c r="C23" s="18"/>
      <c r="D23" s="18"/>
      <c r="E23" s="18"/>
      <c r="F23" s="18"/>
      <c r="G23" s="25"/>
      <c r="H23" s="25"/>
      <c r="I23" s="26"/>
      <c r="J23" s="25"/>
      <c r="K23" s="27"/>
    </row>
    <row r="24" spans="2:13" ht="12.75" customHeight="1" x14ac:dyDescent="0.3">
      <c r="B24" s="17" t="s">
        <v>22</v>
      </c>
      <c r="C24" s="18"/>
      <c r="D24" s="18"/>
      <c r="E24" s="18"/>
      <c r="F24" s="18"/>
      <c r="G24" s="25">
        <v>60</v>
      </c>
      <c r="H24" s="25">
        <v>60</v>
      </c>
      <c r="I24" s="26">
        <v>30</v>
      </c>
      <c r="J24" s="25">
        <f t="shared" ref="J24:J34" si="8">+H24-I24</f>
        <v>30</v>
      </c>
      <c r="K24" s="27">
        <f t="shared" ref="K24:K34" si="9">+H24/I24-1</f>
        <v>1</v>
      </c>
    </row>
    <row r="25" spans="2:13" ht="12.75" customHeight="1" x14ac:dyDescent="0.3">
      <c r="B25" s="17" t="s">
        <v>23</v>
      </c>
      <c r="C25" s="18"/>
      <c r="D25" s="18"/>
      <c r="E25" s="18"/>
      <c r="F25" s="18"/>
      <c r="G25" s="25">
        <v>110</v>
      </c>
      <c r="H25" s="25">
        <v>110</v>
      </c>
      <c r="I25" s="26">
        <v>60</v>
      </c>
      <c r="J25" s="25">
        <f t="shared" si="8"/>
        <v>50</v>
      </c>
      <c r="K25" s="27">
        <f t="shared" si="9"/>
        <v>0.83333333333333326</v>
      </c>
    </row>
    <row r="26" spans="2:13" ht="12.75" customHeight="1" x14ac:dyDescent="0.3">
      <c r="B26" s="17" t="s">
        <v>24</v>
      </c>
      <c r="C26" s="18"/>
      <c r="D26" s="18"/>
      <c r="E26" s="18"/>
      <c r="F26" s="18"/>
      <c r="G26" s="29">
        <v>140</v>
      </c>
      <c r="H26" s="29">
        <v>140</v>
      </c>
      <c r="I26" s="30">
        <v>130</v>
      </c>
      <c r="J26" s="29">
        <f t="shared" si="8"/>
        <v>10</v>
      </c>
      <c r="K26" s="31">
        <f t="shared" si="9"/>
        <v>7.6923076923076872E-2</v>
      </c>
    </row>
    <row r="27" spans="2:13" ht="12.75" customHeight="1" x14ac:dyDescent="0.3">
      <c r="B27" s="17" t="s">
        <v>25</v>
      </c>
      <c r="C27" s="18"/>
      <c r="D27" s="18"/>
      <c r="E27" s="18"/>
      <c r="F27" s="18"/>
      <c r="G27" s="25">
        <f t="shared" ref="G27:I27" si="10">SUM(G24:G26)</f>
        <v>310</v>
      </c>
      <c r="H27" s="25">
        <f t="shared" si="10"/>
        <v>310</v>
      </c>
      <c r="I27" s="26">
        <f t="shared" si="10"/>
        <v>220</v>
      </c>
      <c r="J27" s="25">
        <f t="shared" si="8"/>
        <v>90</v>
      </c>
      <c r="K27" s="27">
        <f t="shared" si="9"/>
        <v>0.40909090909090917</v>
      </c>
    </row>
    <row r="28" spans="2:13" ht="12.75" customHeight="1" x14ac:dyDescent="0.3">
      <c r="B28" s="17" t="s">
        <v>26</v>
      </c>
      <c r="C28" s="18"/>
      <c r="D28" s="18"/>
      <c r="E28" s="18"/>
      <c r="F28" s="18"/>
      <c r="G28" s="29">
        <v>754</v>
      </c>
      <c r="H28" s="29">
        <v>754</v>
      </c>
      <c r="I28" s="30">
        <v>580</v>
      </c>
      <c r="J28" s="29">
        <f t="shared" si="8"/>
        <v>174</v>
      </c>
      <c r="K28" s="31">
        <f t="shared" si="9"/>
        <v>0.30000000000000004</v>
      </c>
    </row>
    <row r="29" spans="2:13" ht="12.75" customHeight="1" x14ac:dyDescent="0.3">
      <c r="B29" s="17" t="s">
        <v>27</v>
      </c>
      <c r="C29" s="18"/>
      <c r="D29" s="18"/>
      <c r="E29" s="18"/>
      <c r="F29" s="18"/>
      <c r="G29" s="25">
        <f t="shared" ref="G29:I29" si="11">SUM(G27:G28)</f>
        <v>1064</v>
      </c>
      <c r="H29" s="25">
        <f t="shared" si="11"/>
        <v>1064</v>
      </c>
      <c r="I29" s="26">
        <f t="shared" si="11"/>
        <v>800</v>
      </c>
      <c r="J29" s="25">
        <f t="shared" si="8"/>
        <v>264</v>
      </c>
      <c r="K29" s="27">
        <f t="shared" si="9"/>
        <v>0.33000000000000007</v>
      </c>
    </row>
    <row r="30" spans="2:13" ht="12.75" customHeight="1" x14ac:dyDescent="0.3">
      <c r="B30" s="17" t="s">
        <v>28</v>
      </c>
      <c r="C30" s="18"/>
      <c r="D30" s="18"/>
      <c r="E30" s="18"/>
      <c r="F30" s="18"/>
      <c r="G30" s="25">
        <v>40</v>
      </c>
      <c r="H30" s="25">
        <v>40</v>
      </c>
      <c r="I30" s="26">
        <v>40</v>
      </c>
      <c r="J30" s="25">
        <f t="shared" si="8"/>
        <v>0</v>
      </c>
      <c r="K30" s="27">
        <f t="shared" si="9"/>
        <v>0</v>
      </c>
    </row>
    <row r="31" spans="2:13" ht="12.75" customHeight="1" x14ac:dyDescent="0.3">
      <c r="B31" s="17" t="s">
        <v>29</v>
      </c>
      <c r="C31" s="18"/>
      <c r="D31" s="18"/>
      <c r="E31" s="18"/>
      <c r="F31" s="18"/>
      <c r="G31" s="25">
        <v>130</v>
      </c>
      <c r="H31" s="25">
        <v>130</v>
      </c>
      <c r="I31" s="26">
        <v>130</v>
      </c>
      <c r="J31" s="25">
        <f t="shared" si="8"/>
        <v>0</v>
      </c>
      <c r="K31" s="27">
        <f t="shared" si="9"/>
        <v>0</v>
      </c>
    </row>
    <row r="32" spans="2:13" ht="12.75" customHeight="1" x14ac:dyDescent="0.3">
      <c r="B32" s="17" t="s">
        <v>30</v>
      </c>
      <c r="C32" s="18"/>
      <c r="D32" s="18"/>
      <c r="E32" s="18"/>
      <c r="F32" s="18"/>
      <c r="G32" s="29">
        <f t="shared" ref="G32:H32" si="12">H32+G53</f>
        <v>881.96000000000026</v>
      </c>
      <c r="H32" s="29">
        <f t="shared" si="12"/>
        <v>765.98000000000013</v>
      </c>
      <c r="I32" s="30">
        <v>710</v>
      </c>
      <c r="J32" s="29">
        <f t="shared" si="8"/>
        <v>55.980000000000132</v>
      </c>
      <c r="K32" s="31">
        <f t="shared" si="9"/>
        <v>7.8845070422535413E-2</v>
      </c>
    </row>
    <row r="33" spans="2:14" ht="12.75" customHeight="1" x14ac:dyDescent="0.3">
      <c r="B33" s="17" t="s">
        <v>31</v>
      </c>
      <c r="C33" s="18"/>
      <c r="D33" s="18"/>
      <c r="E33" s="18"/>
      <c r="F33" s="18"/>
      <c r="G33" s="25">
        <f t="shared" ref="G33:I33" si="13">SUM(G31:G32)</f>
        <v>1011.9600000000003</v>
      </c>
      <c r="H33" s="25">
        <f t="shared" si="13"/>
        <v>895.98000000000013</v>
      </c>
      <c r="I33" s="26">
        <f t="shared" si="13"/>
        <v>840</v>
      </c>
      <c r="J33" s="25">
        <f t="shared" si="8"/>
        <v>55.980000000000132</v>
      </c>
      <c r="K33" s="27">
        <f t="shared" si="9"/>
        <v>6.6642857142857226E-2</v>
      </c>
    </row>
    <row r="34" spans="2:14" ht="12.75" customHeight="1" x14ac:dyDescent="0.3">
      <c r="B34" s="36" t="s">
        <v>32</v>
      </c>
      <c r="C34" s="37"/>
      <c r="D34" s="37"/>
      <c r="E34" s="37"/>
      <c r="F34" s="37"/>
      <c r="G34" s="38">
        <f t="shared" ref="G34:I34" si="14">SUM(G29,G30,G33)</f>
        <v>2115.96</v>
      </c>
      <c r="H34" s="38">
        <f t="shared" si="14"/>
        <v>1999.98</v>
      </c>
      <c r="I34" s="39">
        <f t="shared" si="14"/>
        <v>1680</v>
      </c>
      <c r="J34" s="38">
        <f t="shared" si="8"/>
        <v>319.98</v>
      </c>
      <c r="K34" s="40">
        <f t="shared" si="9"/>
        <v>0.19046428571428575</v>
      </c>
    </row>
    <row r="35" spans="2:14" ht="12.75" customHeight="1" x14ac:dyDescent="0.3">
      <c r="B35" s="3"/>
      <c r="C35" s="3"/>
      <c r="D35" s="3"/>
      <c r="E35" s="3"/>
      <c r="F35" s="3"/>
      <c r="G35" s="3"/>
      <c r="H35" s="3"/>
      <c r="I35" s="3"/>
      <c r="J35" s="41"/>
      <c r="K35" s="42"/>
    </row>
    <row r="36" spans="2:14" ht="12.75" customHeight="1" x14ac:dyDescent="0.3">
      <c r="B36" s="13" t="s">
        <v>11</v>
      </c>
      <c r="C36" s="43"/>
      <c r="D36" s="44"/>
      <c r="E36" s="44"/>
      <c r="F36" s="44"/>
      <c r="G36" s="43"/>
      <c r="H36" s="43"/>
      <c r="I36" s="45"/>
      <c r="J36" s="43"/>
      <c r="K36" s="45"/>
    </row>
    <row r="37" spans="2:14" ht="12.75" customHeight="1" x14ac:dyDescent="0.3">
      <c r="B37" s="17" t="s">
        <v>33</v>
      </c>
      <c r="C37" s="18"/>
      <c r="D37" s="46"/>
      <c r="E37" s="46"/>
      <c r="F37" s="46"/>
      <c r="G37" s="18"/>
      <c r="H37" s="18"/>
      <c r="I37" s="20"/>
      <c r="J37" s="18"/>
      <c r="K37" s="20"/>
    </row>
    <row r="38" spans="2:14" ht="12.75" customHeight="1" x14ac:dyDescent="0.3">
      <c r="B38" s="17"/>
      <c r="C38" s="18"/>
      <c r="D38" s="18"/>
      <c r="E38" s="18"/>
      <c r="F38" s="18"/>
      <c r="G38" s="21" t="str">
        <f t="shared" ref="G38:I38" si="15">G5</f>
        <v>AÑO 2</v>
      </c>
      <c r="H38" s="21" t="str">
        <f t="shared" si="15"/>
        <v>AÑO 1</v>
      </c>
      <c r="I38" s="47" t="str">
        <f t="shared" si="15"/>
        <v>AÑO 0</v>
      </c>
      <c r="J38" s="21" t="s">
        <v>5</v>
      </c>
      <c r="K38" s="47" t="s">
        <v>6</v>
      </c>
    </row>
    <row r="39" spans="2:14" ht="12.75" customHeight="1" x14ac:dyDescent="0.3">
      <c r="B39" s="17" t="s">
        <v>34</v>
      </c>
      <c r="C39" s="18"/>
      <c r="D39" s="18"/>
      <c r="E39" s="18"/>
      <c r="F39" s="18"/>
      <c r="G39" s="18"/>
      <c r="H39" s="18"/>
      <c r="I39" s="48"/>
      <c r="J39" s="18"/>
      <c r="K39" s="48"/>
    </row>
    <row r="40" spans="2:14" ht="12.75" customHeight="1" x14ac:dyDescent="0.3">
      <c r="B40" s="17" t="s">
        <v>35</v>
      </c>
      <c r="C40" s="18"/>
      <c r="D40" s="18"/>
      <c r="E40" s="18"/>
      <c r="F40" s="18"/>
      <c r="G40" s="49">
        <v>3100</v>
      </c>
      <c r="H40" s="49">
        <v>3000</v>
      </c>
      <c r="I40" s="50">
        <v>2850</v>
      </c>
      <c r="J40" s="49">
        <f t="shared" ref="J40:J50" si="16">+H40-I40</f>
        <v>150</v>
      </c>
      <c r="K40" s="27">
        <f t="shared" ref="K40:K50" si="17">+H40/I40-1</f>
        <v>5.2631578947368363E-2</v>
      </c>
      <c r="M40" s="32"/>
    </row>
    <row r="41" spans="2:14" ht="12.75" customHeight="1" x14ac:dyDescent="0.3">
      <c r="B41" s="17" t="s">
        <v>36</v>
      </c>
      <c r="C41" s="18"/>
      <c r="D41" s="18"/>
      <c r="E41" s="18"/>
      <c r="F41" s="18"/>
      <c r="G41" s="28">
        <v>2616.1999999999998</v>
      </c>
      <c r="H41" s="28">
        <v>2616.1999999999998</v>
      </c>
      <c r="I41" s="51">
        <v>2497</v>
      </c>
      <c r="J41" s="28">
        <f t="shared" si="16"/>
        <v>119.19999999999982</v>
      </c>
      <c r="K41" s="31">
        <f t="shared" si="17"/>
        <v>4.7737284741689923E-2</v>
      </c>
    </row>
    <row r="42" spans="2:14" ht="12.75" customHeight="1" x14ac:dyDescent="0.3">
      <c r="B42" s="52" t="s">
        <v>37</v>
      </c>
      <c r="C42" s="18"/>
      <c r="D42" s="18"/>
      <c r="E42" s="18"/>
      <c r="F42" s="18"/>
      <c r="G42" s="49">
        <f t="shared" ref="G42:I42" si="18">G40-G41</f>
        <v>483.80000000000018</v>
      </c>
      <c r="H42" s="49">
        <f t="shared" si="18"/>
        <v>383.80000000000018</v>
      </c>
      <c r="I42" s="50">
        <f t="shared" si="18"/>
        <v>353</v>
      </c>
      <c r="J42" s="49">
        <f t="shared" si="16"/>
        <v>30.800000000000182</v>
      </c>
      <c r="K42" s="27">
        <f t="shared" si="17"/>
        <v>8.7252124645892826E-2</v>
      </c>
    </row>
    <row r="43" spans="2:14" ht="12.75" customHeight="1" x14ac:dyDescent="0.3">
      <c r="B43" s="17" t="s">
        <v>38</v>
      </c>
      <c r="C43" s="18"/>
      <c r="D43" s="18"/>
      <c r="E43" s="18"/>
      <c r="F43" s="18"/>
      <c r="G43" s="28">
        <v>100</v>
      </c>
      <c r="H43" s="28">
        <v>100</v>
      </c>
      <c r="I43" s="51">
        <v>90</v>
      </c>
      <c r="J43" s="28">
        <f t="shared" si="16"/>
        <v>10</v>
      </c>
      <c r="K43" s="31">
        <f t="shared" si="17"/>
        <v>0.11111111111111116</v>
      </c>
    </row>
    <row r="44" spans="2:14" ht="12.75" customHeight="1" x14ac:dyDescent="0.3">
      <c r="B44" s="17" t="s">
        <v>39</v>
      </c>
      <c r="C44" s="18"/>
      <c r="D44" s="18"/>
      <c r="E44" s="18"/>
      <c r="F44" s="18"/>
      <c r="G44" s="49">
        <f t="shared" ref="G44:I44" si="19">G42-G43</f>
        <v>383.80000000000018</v>
      </c>
      <c r="H44" s="49">
        <f t="shared" si="19"/>
        <v>283.80000000000018</v>
      </c>
      <c r="I44" s="50">
        <f t="shared" si="19"/>
        <v>263</v>
      </c>
      <c r="J44" s="49">
        <f t="shared" si="16"/>
        <v>20.800000000000182</v>
      </c>
      <c r="K44" s="27">
        <f t="shared" si="17"/>
        <v>7.9087452471483521E-2</v>
      </c>
    </row>
    <row r="45" spans="2:14" ht="12.75" customHeight="1" x14ac:dyDescent="0.3">
      <c r="B45" s="17" t="s">
        <v>40</v>
      </c>
      <c r="C45" s="18"/>
      <c r="D45" s="18"/>
      <c r="E45" s="18"/>
      <c r="F45" s="18"/>
      <c r="G45" s="28">
        <v>88</v>
      </c>
      <c r="H45" s="28">
        <v>88</v>
      </c>
      <c r="I45" s="51">
        <v>60</v>
      </c>
      <c r="J45" s="28">
        <f t="shared" si="16"/>
        <v>28</v>
      </c>
      <c r="K45" s="31">
        <f t="shared" si="17"/>
        <v>0.46666666666666656</v>
      </c>
      <c r="L45" s="53"/>
      <c r="M45" s="53"/>
      <c r="N45" s="53"/>
    </row>
    <row r="46" spans="2:14" ht="12.75" customHeight="1" x14ac:dyDescent="0.3">
      <c r="B46" s="17" t="s">
        <v>41</v>
      </c>
      <c r="C46" s="18"/>
      <c r="D46" s="18"/>
      <c r="E46" s="18"/>
      <c r="F46" s="18"/>
      <c r="G46" s="49">
        <f t="shared" ref="G46:I46" si="20">G44-G45</f>
        <v>295.80000000000018</v>
      </c>
      <c r="H46" s="49">
        <f t="shared" si="20"/>
        <v>195.80000000000018</v>
      </c>
      <c r="I46" s="50">
        <f t="shared" si="20"/>
        <v>203</v>
      </c>
      <c r="J46" s="49">
        <f t="shared" si="16"/>
        <v>-7.1999999999998181</v>
      </c>
      <c r="K46" s="27">
        <f t="shared" si="17"/>
        <v>-3.5467980295565638E-2</v>
      </c>
    </row>
    <row r="47" spans="2:14" ht="12.75" customHeight="1" x14ac:dyDescent="0.3">
      <c r="B47" s="17" t="s">
        <v>42</v>
      </c>
      <c r="C47" s="54"/>
      <c r="D47" s="18"/>
      <c r="E47" s="18"/>
      <c r="F47" s="18"/>
      <c r="G47" s="28">
        <f t="shared" ref="G47:I47" si="21">G46*G8</f>
        <v>118.32000000000008</v>
      </c>
      <c r="H47" s="28">
        <f t="shared" si="21"/>
        <v>78.320000000000078</v>
      </c>
      <c r="I47" s="51">
        <f t="shared" si="21"/>
        <v>81.2</v>
      </c>
      <c r="J47" s="28">
        <f t="shared" si="16"/>
        <v>-2.8799999999999244</v>
      </c>
      <c r="K47" s="31">
        <f t="shared" si="17"/>
        <v>-3.5467980295565527E-2</v>
      </c>
    </row>
    <row r="48" spans="2:14" ht="12.75" customHeight="1" x14ac:dyDescent="0.3">
      <c r="B48" s="17" t="s">
        <v>43</v>
      </c>
      <c r="C48" s="18"/>
      <c r="D48" s="18"/>
      <c r="E48" s="18"/>
      <c r="F48" s="18"/>
      <c r="G48" s="49">
        <f t="shared" ref="G48:I48" si="22">G46-G47</f>
        <v>177.4800000000001</v>
      </c>
      <c r="H48" s="49">
        <f t="shared" si="22"/>
        <v>117.4800000000001</v>
      </c>
      <c r="I48" s="50">
        <f t="shared" si="22"/>
        <v>121.8</v>
      </c>
      <c r="J48" s="49">
        <f t="shared" si="16"/>
        <v>-4.3199999999998937</v>
      </c>
      <c r="K48" s="27">
        <f t="shared" si="17"/>
        <v>-3.5467980295565638E-2</v>
      </c>
      <c r="L48" s="53"/>
      <c r="M48" s="53"/>
      <c r="N48" s="53"/>
    </row>
    <row r="49" spans="2:11" ht="12.75" customHeight="1" x14ac:dyDescent="0.3">
      <c r="B49" s="17" t="s">
        <v>44</v>
      </c>
      <c r="C49" s="18"/>
      <c r="D49" s="18"/>
      <c r="E49" s="18"/>
      <c r="F49" s="18"/>
      <c r="G49" s="28">
        <v>4</v>
      </c>
      <c r="H49" s="28">
        <v>4</v>
      </c>
      <c r="I49" s="51">
        <v>4</v>
      </c>
      <c r="J49" s="28">
        <f t="shared" si="16"/>
        <v>0</v>
      </c>
      <c r="K49" s="31">
        <f t="shared" si="17"/>
        <v>0</v>
      </c>
    </row>
    <row r="50" spans="2:11" ht="12.75" customHeight="1" x14ac:dyDescent="0.3">
      <c r="B50" s="17" t="s">
        <v>45</v>
      </c>
      <c r="C50" s="18"/>
      <c r="D50" s="18"/>
      <c r="E50" s="18"/>
      <c r="F50" s="18"/>
      <c r="G50" s="55">
        <f t="shared" ref="G50:I50" si="23">G48-G49</f>
        <v>173.4800000000001</v>
      </c>
      <c r="H50" s="55">
        <f t="shared" si="23"/>
        <v>113.4800000000001</v>
      </c>
      <c r="I50" s="56">
        <f t="shared" si="23"/>
        <v>117.8</v>
      </c>
      <c r="J50" s="55">
        <f t="shared" si="16"/>
        <v>-4.3199999999998937</v>
      </c>
      <c r="K50" s="35">
        <f t="shared" si="17"/>
        <v>-3.6672325976230047E-2</v>
      </c>
    </row>
    <row r="51" spans="2:11" ht="12.75" customHeight="1" x14ac:dyDescent="0.3">
      <c r="B51" s="17"/>
      <c r="C51" s="18"/>
      <c r="D51" s="18"/>
      <c r="E51" s="18"/>
      <c r="F51" s="18"/>
      <c r="G51" s="49"/>
      <c r="H51" s="49"/>
      <c r="I51" s="50"/>
      <c r="J51" s="49"/>
      <c r="K51" s="27"/>
    </row>
    <row r="52" spans="2:11" ht="12.75" customHeight="1" x14ac:dyDescent="0.3">
      <c r="B52" s="52" t="s">
        <v>46</v>
      </c>
      <c r="C52" s="18"/>
      <c r="D52" s="18"/>
      <c r="E52" s="18"/>
      <c r="F52" s="18"/>
      <c r="G52" s="49">
        <v>57.5</v>
      </c>
      <c r="H52" s="49">
        <v>57.5</v>
      </c>
      <c r="I52" s="50">
        <v>53</v>
      </c>
      <c r="J52" s="49">
        <f t="shared" ref="J52:J53" si="24">+H52-I52</f>
        <v>4.5</v>
      </c>
      <c r="K52" s="27">
        <f t="shared" ref="K52:K53" si="25">+H52/I52-1</f>
        <v>8.4905660377358583E-2</v>
      </c>
    </row>
    <row r="53" spans="2:11" ht="12.75" customHeight="1" x14ac:dyDescent="0.3">
      <c r="B53" s="17" t="s">
        <v>47</v>
      </c>
      <c r="C53" s="18"/>
      <c r="D53" s="18"/>
      <c r="E53" s="18"/>
      <c r="F53" s="18"/>
      <c r="G53" s="49">
        <f t="shared" ref="G53:I53" si="26">G50-G52</f>
        <v>115.9800000000001</v>
      </c>
      <c r="H53" s="49">
        <f t="shared" si="26"/>
        <v>55.980000000000103</v>
      </c>
      <c r="I53" s="50">
        <f t="shared" si="26"/>
        <v>64.8</v>
      </c>
      <c r="J53" s="49">
        <f t="shared" si="24"/>
        <v>-8.8199999999998937</v>
      </c>
      <c r="K53" s="27">
        <f t="shared" si="25"/>
        <v>-0.13611111111110952</v>
      </c>
    </row>
    <row r="54" spans="2:11" ht="12.75" customHeight="1" x14ac:dyDescent="0.3">
      <c r="B54" s="17"/>
      <c r="C54" s="18"/>
      <c r="D54" s="18"/>
      <c r="E54" s="18"/>
      <c r="F54" s="18"/>
      <c r="G54" s="18"/>
      <c r="H54" s="18"/>
      <c r="I54" s="20"/>
      <c r="J54" s="18"/>
      <c r="K54" s="20"/>
    </row>
    <row r="55" spans="2:11" ht="12.75" customHeight="1" x14ac:dyDescent="0.3">
      <c r="B55" s="57" t="s">
        <v>48</v>
      </c>
      <c r="C55" s="37"/>
      <c r="D55" s="37"/>
      <c r="E55" s="37"/>
      <c r="F55" s="37"/>
      <c r="G55" s="37"/>
      <c r="H55" s="37"/>
      <c r="I55" s="58"/>
      <c r="J55" s="37"/>
      <c r="K55" s="58"/>
    </row>
    <row r="56" spans="2:11" ht="12.75" customHeight="1" x14ac:dyDescent="0.3">
      <c r="B56" s="3"/>
      <c r="C56" s="3"/>
      <c r="D56" s="3"/>
      <c r="E56" s="3"/>
      <c r="F56" s="3"/>
      <c r="G56" s="3"/>
      <c r="H56" s="3"/>
      <c r="I56" s="3"/>
      <c r="J56" s="41"/>
      <c r="K56" s="42"/>
    </row>
    <row r="57" spans="2:11" ht="12.75" customHeight="1" x14ac:dyDescent="0.3">
      <c r="B57" s="59" t="s">
        <v>49</v>
      </c>
      <c r="C57" s="3"/>
      <c r="D57" s="3"/>
      <c r="E57" s="3"/>
      <c r="F57" s="3"/>
      <c r="G57" s="12"/>
      <c r="H57" s="12"/>
      <c r="I57" s="12"/>
      <c r="J57" s="41"/>
      <c r="K57" s="42"/>
    </row>
    <row r="58" spans="2:11" ht="12.75" customHeight="1" x14ac:dyDescent="0.3">
      <c r="B58" s="3" t="s">
        <v>50</v>
      </c>
      <c r="C58" s="3"/>
      <c r="D58" s="3"/>
      <c r="E58" s="3"/>
      <c r="F58" s="3"/>
      <c r="G58" s="6">
        <f t="shared" ref="G58:I58" si="27">G50/G7</f>
        <v>3.469600000000002</v>
      </c>
      <c r="H58" s="6">
        <f t="shared" si="27"/>
        <v>2.2696000000000023</v>
      </c>
      <c r="I58" s="6">
        <f t="shared" si="27"/>
        <v>2.3559999999999999</v>
      </c>
      <c r="J58" s="6">
        <f t="shared" ref="J58:J60" si="28">+H58-I58</f>
        <v>-8.639999999999759E-2</v>
      </c>
      <c r="K58" s="11">
        <f t="shared" ref="K58:K60" si="29">+H58/I58-1</f>
        <v>-3.6672325976229825E-2</v>
      </c>
    </row>
    <row r="59" spans="2:11" ht="12.75" customHeight="1" x14ac:dyDescent="0.3">
      <c r="B59" s="3" t="s">
        <v>51</v>
      </c>
      <c r="C59" s="3"/>
      <c r="D59" s="3"/>
      <c r="E59" s="3"/>
      <c r="F59" s="3"/>
      <c r="G59" s="6">
        <f t="shared" ref="G59:I59" si="30">G52/G7</f>
        <v>1.1499999999999999</v>
      </c>
      <c r="H59" s="6">
        <f t="shared" si="30"/>
        <v>1.1499999999999999</v>
      </c>
      <c r="I59" s="6">
        <f t="shared" si="30"/>
        <v>1.06</v>
      </c>
      <c r="J59" s="6">
        <f t="shared" si="28"/>
        <v>8.9999999999999858E-2</v>
      </c>
      <c r="K59" s="11">
        <f t="shared" si="29"/>
        <v>8.4905660377358361E-2</v>
      </c>
    </row>
    <row r="60" spans="2:11" ht="12.75" customHeight="1" x14ac:dyDescent="0.3">
      <c r="B60" s="3" t="s">
        <v>52</v>
      </c>
      <c r="C60" s="3"/>
      <c r="D60" s="3"/>
      <c r="E60" s="3"/>
      <c r="F60" s="3"/>
      <c r="G60" s="6">
        <f t="shared" ref="G60:I60" si="31">G33/G7</f>
        <v>20.239200000000004</v>
      </c>
      <c r="H60" s="6">
        <f t="shared" si="31"/>
        <v>17.919600000000003</v>
      </c>
      <c r="I60" s="6">
        <f t="shared" si="31"/>
        <v>16.8</v>
      </c>
      <c r="J60" s="6">
        <f t="shared" si="28"/>
        <v>1.1196000000000019</v>
      </c>
      <c r="K60" s="11">
        <f t="shared" si="29"/>
        <v>6.6642857142857226E-2</v>
      </c>
    </row>
    <row r="61" spans="2:11" ht="12.75" customHeight="1" x14ac:dyDescent="0.25"/>
    <row r="62" spans="2:11" ht="12.75" customHeight="1" x14ac:dyDescent="0.25"/>
    <row r="63" spans="2:11" ht="12.75" customHeight="1" x14ac:dyDescent="0.3">
      <c r="B63" s="101" t="s">
        <v>53</v>
      </c>
      <c r="C63" s="102"/>
      <c r="D63" s="102"/>
      <c r="E63" s="102"/>
      <c r="F63" s="102"/>
      <c r="G63" s="102"/>
      <c r="H63" s="102"/>
      <c r="I63" s="103"/>
    </row>
    <row r="64" spans="2:11" ht="12.75" customHeight="1" x14ac:dyDescent="0.3">
      <c r="B64" s="60" t="s">
        <v>54</v>
      </c>
      <c r="C64" s="61"/>
      <c r="D64" s="61"/>
      <c r="E64" s="61"/>
      <c r="F64" s="61"/>
      <c r="G64" s="61"/>
      <c r="H64" s="61"/>
      <c r="I64" s="61"/>
    </row>
    <row r="65" spans="1:26" ht="12.75" customHeight="1" x14ac:dyDescent="0.3">
      <c r="B65" s="60" t="s">
        <v>55</v>
      </c>
      <c r="C65" s="61"/>
      <c r="D65" s="61"/>
      <c r="E65" s="61"/>
      <c r="F65" s="61"/>
      <c r="G65" s="61"/>
      <c r="H65" s="61"/>
      <c r="I65" s="61"/>
    </row>
    <row r="66" spans="1:26" ht="12.75" customHeight="1" x14ac:dyDescent="0.3">
      <c r="A66" s="62"/>
      <c r="B66" s="63"/>
      <c r="C66" s="64"/>
      <c r="D66" s="64"/>
      <c r="E66" s="64"/>
      <c r="F66" s="64"/>
      <c r="G66" s="64"/>
      <c r="H66" s="65"/>
      <c r="I66" s="65"/>
      <c r="J66" s="65"/>
      <c r="K66" s="65"/>
      <c r="L66" s="62"/>
      <c r="M66" s="62"/>
      <c r="N66" s="62"/>
      <c r="O66" s="62"/>
      <c r="P66" s="62"/>
      <c r="Q66" s="62"/>
      <c r="R66" s="62"/>
      <c r="S66" s="62"/>
      <c r="T66" s="62"/>
      <c r="U66" s="62"/>
      <c r="V66" s="62"/>
      <c r="W66" s="62"/>
      <c r="X66" s="62"/>
      <c r="Y66" s="62"/>
      <c r="Z66" s="62"/>
    </row>
    <row r="67" spans="1:26" ht="12.75" customHeight="1" x14ac:dyDescent="0.3">
      <c r="B67" s="66"/>
      <c r="C67" s="67"/>
      <c r="D67" s="67"/>
      <c r="E67" s="67"/>
      <c r="F67" s="67"/>
      <c r="G67" s="68"/>
      <c r="H67" s="69" t="s">
        <v>3</v>
      </c>
      <c r="I67" s="69" t="s">
        <v>56</v>
      </c>
      <c r="J67" s="69" t="s">
        <v>5</v>
      </c>
      <c r="K67" s="69" t="s">
        <v>6</v>
      </c>
    </row>
    <row r="68" spans="1:26" ht="12" customHeight="1" x14ac:dyDescent="0.3">
      <c r="A68" s="9"/>
      <c r="B68" s="70" t="s">
        <v>109</v>
      </c>
      <c r="C68" s="14"/>
      <c r="D68" s="14"/>
      <c r="E68" s="14"/>
      <c r="F68" s="14"/>
      <c r="G68" s="71">
        <f t="shared" ref="G68:I68" si="32">+G15+G17+G18-G24-G26</f>
        <v>790</v>
      </c>
      <c r="H68" s="71">
        <f t="shared" si="32"/>
        <v>790</v>
      </c>
      <c r="I68" s="72">
        <f t="shared" si="32"/>
        <v>585</v>
      </c>
      <c r="J68" s="71">
        <f t="shared" ref="J68:J72" si="33">+H68-I68</f>
        <v>205</v>
      </c>
      <c r="K68" s="73">
        <f t="shared" ref="K68:K72" si="34">+H68/I68-1</f>
        <v>0.35042735042735051</v>
      </c>
      <c r="M68" s="9"/>
    </row>
    <row r="69" spans="1:26" ht="12" customHeight="1" x14ac:dyDescent="0.3">
      <c r="A69" s="9"/>
      <c r="B69" s="17" t="s">
        <v>58</v>
      </c>
      <c r="C69" s="18"/>
      <c r="D69" s="18"/>
      <c r="E69" s="18"/>
      <c r="F69" s="18"/>
      <c r="G69" s="25" t="e">
        <f>+G68+#REF!</f>
        <v>#REF!</v>
      </c>
      <c r="H69" s="25">
        <f t="shared" ref="H69:I69" si="35">+H15+H17+H18-H24-H26+H20</f>
        <v>1790</v>
      </c>
      <c r="I69" s="26">
        <f t="shared" si="35"/>
        <v>1455</v>
      </c>
      <c r="J69" s="25">
        <f t="shared" si="33"/>
        <v>335</v>
      </c>
      <c r="K69" s="27">
        <f t="shared" si="34"/>
        <v>0.23024054982817876</v>
      </c>
    </row>
    <row r="70" spans="1:26" ht="12" customHeight="1" x14ac:dyDescent="0.3">
      <c r="A70" s="9"/>
      <c r="B70" s="17" t="s">
        <v>59</v>
      </c>
      <c r="C70" s="18"/>
      <c r="D70" s="18"/>
      <c r="E70" s="18"/>
      <c r="F70" s="18"/>
      <c r="G70" s="25"/>
      <c r="H70" s="25">
        <f t="shared" ref="H70:I70" si="36">(H17/(H17+H40))*365</f>
        <v>40.55555555555555</v>
      </c>
      <c r="I70" s="26">
        <f t="shared" si="36"/>
        <v>36.327014218009481</v>
      </c>
      <c r="J70" s="25">
        <f t="shared" si="33"/>
        <v>4.2285413375460692</v>
      </c>
      <c r="K70" s="27">
        <f t="shared" si="34"/>
        <v>0.11640211640211628</v>
      </c>
      <c r="M70" s="74"/>
    </row>
    <row r="71" spans="1:26" ht="12" customHeight="1" x14ac:dyDescent="0.3">
      <c r="A71" s="9"/>
      <c r="B71" s="17" t="s">
        <v>60</v>
      </c>
      <c r="C71" s="18"/>
      <c r="D71" s="18"/>
      <c r="E71" s="18"/>
      <c r="F71" s="18"/>
      <c r="G71" s="25">
        <f t="shared" ref="G71:I71" si="37">+G44</f>
        <v>383.80000000000018</v>
      </c>
      <c r="H71" s="25">
        <f t="shared" si="37"/>
        <v>283.80000000000018</v>
      </c>
      <c r="I71" s="26">
        <f t="shared" si="37"/>
        <v>263</v>
      </c>
      <c r="J71" s="25">
        <f t="shared" si="33"/>
        <v>20.800000000000182</v>
      </c>
      <c r="K71" s="27">
        <f t="shared" si="34"/>
        <v>7.9087452471483521E-2</v>
      </c>
      <c r="M71" s="74"/>
    </row>
    <row r="72" spans="1:26" ht="12" customHeight="1" x14ac:dyDescent="0.3">
      <c r="A72" s="75"/>
      <c r="B72" s="17" t="s">
        <v>61</v>
      </c>
      <c r="C72" s="18"/>
      <c r="D72" s="18"/>
      <c r="E72" s="18"/>
      <c r="F72" s="18"/>
      <c r="G72" s="25">
        <f>+G44*(1-N48)</f>
        <v>383.80000000000018</v>
      </c>
      <c r="H72" s="25">
        <f t="shared" ref="H72:I72" si="38">+H44*(1-H8)</f>
        <v>170.28000000000011</v>
      </c>
      <c r="I72" s="26">
        <f t="shared" si="38"/>
        <v>157.79999999999998</v>
      </c>
      <c r="J72" s="25">
        <f t="shared" si="33"/>
        <v>12.480000000000132</v>
      </c>
      <c r="K72" s="27">
        <f t="shared" si="34"/>
        <v>7.9087452471483743E-2</v>
      </c>
      <c r="M72" s="74"/>
    </row>
    <row r="73" spans="1:26" ht="12" customHeight="1" x14ac:dyDescent="0.3">
      <c r="B73" s="17" t="s">
        <v>62</v>
      </c>
      <c r="C73" s="18"/>
      <c r="D73" s="18"/>
      <c r="E73" s="18"/>
      <c r="F73" s="18"/>
      <c r="G73" s="25"/>
      <c r="H73" s="76">
        <f t="shared" ref="H73:I73" si="39">H45/H29</f>
        <v>8.2706766917293228E-2</v>
      </c>
      <c r="I73" s="27">
        <f t="shared" si="39"/>
        <v>7.4999999999999997E-2</v>
      </c>
      <c r="J73" s="76">
        <f t="shared" ref="J73:K73" si="40">H73-I73</f>
        <v>7.7067669172932313E-3</v>
      </c>
      <c r="K73" s="27">
        <f t="shared" si="40"/>
        <v>6.7293233082706766E-2</v>
      </c>
      <c r="M73" s="74"/>
    </row>
    <row r="74" spans="1:26" ht="12" customHeight="1" x14ac:dyDescent="0.3">
      <c r="B74" s="17" t="s">
        <v>63</v>
      </c>
      <c r="C74" s="18"/>
      <c r="D74" s="18"/>
      <c r="E74" s="18"/>
      <c r="F74" s="18"/>
      <c r="G74" s="25"/>
      <c r="H74" s="76">
        <f t="shared" ref="H74:I74" si="41">(H9-(H73*(1-H8)*(H29/H34)))/(H33/H34)</f>
        <v>0.18660885287618026</v>
      </c>
      <c r="I74" s="27">
        <f t="shared" si="41"/>
        <v>0.17314285714285715</v>
      </c>
      <c r="J74" s="76">
        <f t="shared" ref="J74:K74" si="42">H74-I74</f>
        <v>1.3465995733323105E-2</v>
      </c>
      <c r="K74" s="27">
        <f t="shared" si="42"/>
        <v>0.15967686140953405</v>
      </c>
      <c r="M74" s="74"/>
    </row>
    <row r="75" spans="1:26" ht="12" customHeight="1" x14ac:dyDescent="0.3">
      <c r="B75" s="17" t="s">
        <v>64</v>
      </c>
      <c r="C75" s="18"/>
      <c r="D75" s="18"/>
      <c r="E75" s="18"/>
      <c r="F75" s="18"/>
      <c r="G75" s="25">
        <f t="shared" ref="G75:I75" si="43">+G9*G68</f>
        <v>88.48</v>
      </c>
      <c r="H75" s="25">
        <f t="shared" si="43"/>
        <v>86.9</v>
      </c>
      <c r="I75" s="26">
        <f t="shared" si="43"/>
        <v>63.18</v>
      </c>
      <c r="J75" s="25">
        <f t="shared" ref="J75:J78" si="44">+H75-I75</f>
        <v>23.720000000000006</v>
      </c>
      <c r="K75" s="27">
        <f t="shared" ref="K75:K78" si="45">+H75/I75-1</f>
        <v>0.37543526432415342</v>
      </c>
      <c r="M75" s="74"/>
    </row>
    <row r="76" spans="1:26" ht="12" customHeight="1" x14ac:dyDescent="0.3">
      <c r="B76" s="17" t="s">
        <v>65</v>
      </c>
      <c r="C76" s="18"/>
      <c r="D76" s="18"/>
      <c r="E76" s="18"/>
      <c r="F76" s="18"/>
      <c r="G76" s="25" t="e">
        <f t="shared" ref="G76:I76" si="46">+G9*G69</f>
        <v>#REF!</v>
      </c>
      <c r="H76" s="25">
        <f t="shared" si="46"/>
        <v>196.9</v>
      </c>
      <c r="I76" s="26">
        <f t="shared" si="46"/>
        <v>157.13999999999999</v>
      </c>
      <c r="J76" s="25">
        <f t="shared" si="44"/>
        <v>39.760000000000019</v>
      </c>
      <c r="K76" s="27">
        <f t="shared" si="45"/>
        <v>0.25302278223240426</v>
      </c>
      <c r="M76" s="74"/>
    </row>
    <row r="77" spans="1:26" ht="12" customHeight="1" x14ac:dyDescent="0.3">
      <c r="B77" s="17" t="s">
        <v>66</v>
      </c>
      <c r="C77" s="18"/>
      <c r="D77" s="18"/>
      <c r="E77" s="18"/>
      <c r="F77" s="18"/>
      <c r="G77" s="25" t="e">
        <f t="shared" ref="G77:I77" si="47">+G72-G76</f>
        <v>#REF!</v>
      </c>
      <c r="H77" s="25">
        <f t="shared" si="47"/>
        <v>-26.619999999999891</v>
      </c>
      <c r="I77" s="26">
        <f t="shared" si="47"/>
        <v>0.65999999999999659</v>
      </c>
      <c r="J77" s="25">
        <f t="shared" si="44"/>
        <v>-27.279999999999887</v>
      </c>
      <c r="K77" s="27">
        <f t="shared" si="45"/>
        <v>-41.333333333333378</v>
      </c>
      <c r="M77" s="74"/>
    </row>
    <row r="78" spans="1:26" ht="12" customHeight="1" x14ac:dyDescent="0.3">
      <c r="B78" s="36" t="s">
        <v>67</v>
      </c>
      <c r="C78" s="37"/>
      <c r="D78" s="37"/>
      <c r="E78" s="37"/>
      <c r="F78" s="37"/>
      <c r="G78" s="37" t="e">
        <f t="shared" ref="G78:I78" si="48">(G77)/G69</f>
        <v>#REF!</v>
      </c>
      <c r="H78" s="77">
        <f t="shared" si="48"/>
        <v>-1.4871508379888208E-2</v>
      </c>
      <c r="I78" s="78">
        <f t="shared" si="48"/>
        <v>4.5360824742267809E-4</v>
      </c>
      <c r="J78" s="79">
        <f t="shared" si="44"/>
        <v>-1.5325116627310885E-2</v>
      </c>
      <c r="K78" s="80">
        <f t="shared" si="45"/>
        <v>-33.784916201117355</v>
      </c>
      <c r="M78" s="74"/>
    </row>
    <row r="79" spans="1:26" ht="12.75" customHeight="1" x14ac:dyDescent="0.3">
      <c r="B79" s="3"/>
    </row>
    <row r="80" spans="1:26" ht="12.75" customHeight="1" x14ac:dyDescent="0.3">
      <c r="B80" s="81" t="s">
        <v>68</v>
      </c>
      <c r="C80" s="82"/>
      <c r="D80" s="82"/>
      <c r="E80" s="82"/>
      <c r="F80" s="82"/>
      <c r="G80" s="82"/>
      <c r="H80" s="82"/>
      <c r="I80" s="82"/>
    </row>
    <row r="81" spans="2:16" ht="12.75" customHeight="1" x14ac:dyDescent="0.3">
      <c r="B81" s="81" t="s">
        <v>69</v>
      </c>
      <c r="C81" s="82"/>
      <c r="D81" s="82"/>
      <c r="E81" s="82"/>
      <c r="F81" s="82"/>
      <c r="G81" s="82"/>
      <c r="H81" s="82"/>
      <c r="I81" s="82"/>
    </row>
    <row r="82" spans="2:16" ht="12.75" customHeight="1" x14ac:dyDescent="0.3">
      <c r="B82" s="3" t="s">
        <v>70</v>
      </c>
    </row>
    <row r="83" spans="2:16" ht="12.75" customHeight="1" x14ac:dyDescent="0.3">
      <c r="B83" s="66"/>
      <c r="C83" s="67"/>
      <c r="D83" s="67"/>
      <c r="E83" s="67"/>
      <c r="F83" s="67"/>
      <c r="G83" s="68"/>
      <c r="H83" s="69" t="s">
        <v>3</v>
      </c>
      <c r="I83" s="69" t="s">
        <v>56</v>
      </c>
      <c r="J83" s="69" t="s">
        <v>5</v>
      </c>
      <c r="K83" s="69" t="s">
        <v>6</v>
      </c>
    </row>
    <row r="84" spans="2:16" ht="12.75" customHeight="1" x14ac:dyDescent="0.3">
      <c r="B84" s="70" t="s">
        <v>71</v>
      </c>
      <c r="C84" s="14"/>
      <c r="D84" s="14"/>
      <c r="E84" s="14"/>
      <c r="F84" s="14"/>
      <c r="G84" s="71">
        <f t="shared" ref="G84:I84" si="49">G50/(G31+G32)</f>
        <v>0.17142970077868697</v>
      </c>
      <c r="H84" s="83">
        <f t="shared" si="49"/>
        <v>0.12665461282617926</v>
      </c>
      <c r="I84" s="73">
        <f t="shared" si="49"/>
        <v>0.14023809523809525</v>
      </c>
      <c r="J84" s="83">
        <f t="shared" ref="J84:J90" si="50">+H84-I84</f>
        <v>-1.3583482411915981E-2</v>
      </c>
      <c r="K84" s="73">
        <f t="shared" ref="K84:K90" si="51">H84/I84-1</f>
        <v>-9.6860146230979827E-2</v>
      </c>
    </row>
    <row r="85" spans="2:16" ht="12.75" customHeight="1" x14ac:dyDescent="0.3">
      <c r="B85" s="17" t="s">
        <v>72</v>
      </c>
      <c r="C85" s="18"/>
      <c r="D85" s="18"/>
      <c r="E85" s="18"/>
      <c r="F85" s="18"/>
      <c r="G85" s="25">
        <f t="shared" ref="G85:I85" si="52">+G29/G21</f>
        <v>0.53467336683417088</v>
      </c>
      <c r="H85" s="76">
        <f t="shared" si="52"/>
        <v>0.53467336683417088</v>
      </c>
      <c r="I85" s="27">
        <f t="shared" si="52"/>
        <v>0.47619047619047616</v>
      </c>
      <c r="J85" s="76">
        <f t="shared" si="50"/>
        <v>5.8482890643694718E-2</v>
      </c>
      <c r="K85" s="27">
        <f t="shared" si="51"/>
        <v>0.12281407035175884</v>
      </c>
    </row>
    <row r="86" spans="2:16" ht="12.75" customHeight="1" x14ac:dyDescent="0.3">
      <c r="B86" s="17" t="s">
        <v>73</v>
      </c>
      <c r="C86" s="18"/>
      <c r="D86" s="18"/>
      <c r="E86" s="18"/>
      <c r="F86" s="18"/>
      <c r="G86" s="25">
        <f t="shared" ref="G86:I86" si="53">G19/G27</f>
        <v>3.193548387096774</v>
      </c>
      <c r="H86" s="76">
        <f t="shared" si="53"/>
        <v>3.193548387096774</v>
      </c>
      <c r="I86" s="27">
        <f t="shared" si="53"/>
        <v>3.6818181818181817</v>
      </c>
      <c r="J86" s="76">
        <f t="shared" si="50"/>
        <v>-0.48826979472140764</v>
      </c>
      <c r="K86" s="27">
        <f t="shared" si="51"/>
        <v>-0.13261648745519716</v>
      </c>
    </row>
    <row r="87" spans="2:16" ht="12.75" customHeight="1" x14ac:dyDescent="0.3">
      <c r="B87" s="17" t="s">
        <v>74</v>
      </c>
      <c r="C87" s="18"/>
      <c r="D87" s="18"/>
      <c r="E87" s="18"/>
      <c r="F87" s="18"/>
      <c r="G87" s="25" t="e">
        <f>+#REF!/#REF!</f>
        <v>#REF!</v>
      </c>
      <c r="H87" s="76">
        <f>H27/H28</f>
        <v>0.41114058355437666</v>
      </c>
      <c r="I87" s="27">
        <f>I27/I28</f>
        <v>0.37931034482758619</v>
      </c>
      <c r="J87" s="76">
        <f t="shared" si="50"/>
        <v>3.1830238726790472E-2</v>
      </c>
      <c r="K87" s="27">
        <f t="shared" si="51"/>
        <v>8.3916083916083961E-2</v>
      </c>
    </row>
    <row r="88" spans="2:16" ht="12.75" customHeight="1" x14ac:dyDescent="0.3">
      <c r="B88" s="17" t="s">
        <v>75</v>
      </c>
      <c r="C88" s="18"/>
      <c r="D88" s="18"/>
      <c r="E88" s="18"/>
      <c r="F88" s="18"/>
      <c r="G88" s="25" t="e">
        <f>+#REF!/G33</f>
        <v>#REF!</v>
      </c>
      <c r="H88" s="76">
        <f t="shared" ref="H88:I88" si="54">(H24+H25+H26)/H28</f>
        <v>0.41114058355437666</v>
      </c>
      <c r="I88" s="27">
        <f t="shared" si="54"/>
        <v>0.37931034482758619</v>
      </c>
      <c r="J88" s="76">
        <f t="shared" si="50"/>
        <v>3.1830238726790472E-2</v>
      </c>
      <c r="K88" s="27">
        <f t="shared" si="51"/>
        <v>8.3916083916083961E-2</v>
      </c>
    </row>
    <row r="89" spans="2:16" ht="12.75" customHeight="1" x14ac:dyDescent="0.3">
      <c r="B89" s="17" t="s">
        <v>76</v>
      </c>
      <c r="C89" s="18"/>
      <c r="D89" s="18"/>
      <c r="E89" s="18"/>
      <c r="F89" s="18"/>
      <c r="G89" s="25">
        <f t="shared" ref="G89:I89" si="55">+G50/G33</f>
        <v>0.17142970077868697</v>
      </c>
      <c r="H89" s="76">
        <f t="shared" si="55"/>
        <v>0.12665461282617926</v>
      </c>
      <c r="I89" s="27">
        <f t="shared" si="55"/>
        <v>0.14023809523809525</v>
      </c>
      <c r="J89" s="76">
        <f t="shared" si="50"/>
        <v>-1.3583482411915981E-2</v>
      </c>
      <c r="K89" s="27">
        <f t="shared" si="51"/>
        <v>-9.6860146230979827E-2</v>
      </c>
    </row>
    <row r="90" spans="2:16" ht="12.75" customHeight="1" x14ac:dyDescent="0.3">
      <c r="B90" s="17" t="s">
        <v>77</v>
      </c>
      <c r="C90" s="18"/>
      <c r="D90" s="18"/>
      <c r="E90" s="18"/>
      <c r="F90" s="18"/>
      <c r="G90" s="25">
        <f t="shared" ref="G90:I90" si="56">+G46/G45</f>
        <v>3.3613636363636386</v>
      </c>
      <c r="H90" s="76">
        <f t="shared" si="56"/>
        <v>2.2250000000000019</v>
      </c>
      <c r="I90" s="27">
        <f t="shared" si="56"/>
        <v>3.3833333333333333</v>
      </c>
      <c r="J90" s="76">
        <f t="shared" si="50"/>
        <v>-1.1583333333333314</v>
      </c>
      <c r="K90" s="27">
        <f t="shared" si="51"/>
        <v>-0.34236453201970385</v>
      </c>
    </row>
    <row r="91" spans="2:16" ht="12.75" customHeight="1" x14ac:dyDescent="0.3">
      <c r="B91" s="17" t="s">
        <v>78</v>
      </c>
      <c r="C91" s="18"/>
      <c r="D91" s="18"/>
      <c r="E91" s="18"/>
      <c r="F91" s="18"/>
      <c r="G91" s="25"/>
      <c r="H91" s="76"/>
      <c r="I91" s="27"/>
      <c r="J91" s="76"/>
      <c r="K91" s="27"/>
      <c r="N91" s="32"/>
      <c r="P91" s="32"/>
    </row>
    <row r="92" spans="2:16" ht="12.75" customHeight="1" x14ac:dyDescent="0.3">
      <c r="B92" s="17" t="s">
        <v>79</v>
      </c>
      <c r="C92" s="18"/>
      <c r="D92" s="18"/>
      <c r="E92" s="18"/>
      <c r="F92" s="18"/>
      <c r="G92" s="25">
        <f t="shared" ref="G92:I92" si="57">+G48/G40</f>
        <v>5.7251612903225842E-2</v>
      </c>
      <c r="H92" s="76">
        <f t="shared" si="57"/>
        <v>3.9160000000000035E-2</v>
      </c>
      <c r="I92" s="27">
        <f t="shared" si="57"/>
        <v>4.2736842105263156E-2</v>
      </c>
      <c r="J92" s="76">
        <f>+H92-I92</f>
        <v>-3.5768421052631214E-3</v>
      </c>
      <c r="K92" s="27">
        <f t="shared" ref="K92:K94" si="58">H92/I92-1</f>
        <v>-8.3694581280787328E-2</v>
      </c>
      <c r="N92" s="42"/>
      <c r="P92" s="42"/>
    </row>
    <row r="93" spans="2:16" ht="12.75" customHeight="1" x14ac:dyDescent="0.3">
      <c r="B93" s="17" t="s">
        <v>80</v>
      </c>
      <c r="C93" s="18"/>
      <c r="D93" s="18"/>
      <c r="E93" s="18"/>
      <c r="F93" s="18"/>
      <c r="G93" s="25">
        <f t="shared" ref="G93:I93" si="59">+G40/G21</f>
        <v>1.5577889447236182</v>
      </c>
      <c r="H93" s="76">
        <f t="shared" si="59"/>
        <v>1.5075376884422111</v>
      </c>
      <c r="I93" s="27">
        <f t="shared" si="59"/>
        <v>1.6964285714285714</v>
      </c>
      <c r="J93" s="76">
        <f t="shared" ref="J93:J94" si="60">H93-I93</f>
        <v>-0.18889088298636025</v>
      </c>
      <c r="K93" s="27">
        <f t="shared" si="58"/>
        <v>-0.11134620470774925</v>
      </c>
      <c r="N93" s="42"/>
      <c r="P93" s="42"/>
    </row>
    <row r="94" spans="2:16" ht="12.75" customHeight="1" x14ac:dyDescent="0.3">
      <c r="B94" s="36" t="s">
        <v>81</v>
      </c>
      <c r="C94" s="37"/>
      <c r="D94" s="37"/>
      <c r="E94" s="37"/>
      <c r="F94" s="37"/>
      <c r="G94" s="37">
        <f t="shared" ref="G94:I94" si="61">+G21/G33</f>
        <v>1.9664808885726703</v>
      </c>
      <c r="H94" s="84">
        <f t="shared" si="61"/>
        <v>2.2210317194580234</v>
      </c>
      <c r="I94" s="80">
        <f t="shared" si="61"/>
        <v>2</v>
      </c>
      <c r="J94" s="84">
        <f t="shared" si="60"/>
        <v>0.22103171945802336</v>
      </c>
      <c r="K94" s="80">
        <f t="shared" si="58"/>
        <v>0.11051585972901168</v>
      </c>
      <c r="N94" s="42"/>
      <c r="P94" s="42"/>
    </row>
    <row r="95" spans="2:16" ht="12.75" customHeight="1" x14ac:dyDescent="0.25"/>
    <row r="96" spans="2:16" ht="12.75" customHeight="1" x14ac:dyDescent="0.25"/>
    <row r="97" spans="1:1" ht="12.75" customHeight="1" x14ac:dyDescent="0.25"/>
    <row r="98" spans="1:1" ht="12.75" customHeight="1" x14ac:dyDescent="0.25"/>
    <row r="99" spans="1:1" ht="12.75" customHeight="1" x14ac:dyDescent="0.25"/>
    <row r="100" spans="1:1" ht="12.75" customHeight="1" x14ac:dyDescent="0.25"/>
    <row r="101" spans="1:1" ht="12.75" customHeight="1" x14ac:dyDescent="0.25"/>
    <row r="102" spans="1:1" ht="12.75" customHeight="1" x14ac:dyDescent="0.25"/>
    <row r="103" spans="1:1" ht="12.75" customHeight="1" x14ac:dyDescent="0.25"/>
    <row r="104" spans="1:1" ht="12.75" customHeight="1" x14ac:dyDescent="0.25"/>
    <row r="105" spans="1:1" ht="12.75" customHeight="1" x14ac:dyDescent="0.25"/>
    <row r="106" spans="1:1" ht="12.75" customHeight="1" x14ac:dyDescent="0.25"/>
    <row r="107" spans="1:1" ht="12.75" customHeight="1" x14ac:dyDescent="0.25"/>
    <row r="108" spans="1:1" ht="12.75" customHeight="1" x14ac:dyDescent="0.25"/>
    <row r="109" spans="1:1" ht="12.75" customHeight="1" x14ac:dyDescent="0.25">
      <c r="A109" s="32"/>
    </row>
    <row r="110" spans="1:1" ht="12.75" customHeight="1" x14ac:dyDescent="0.25">
      <c r="A110" s="85"/>
    </row>
    <row r="111" spans="1:1" ht="12.75" customHeight="1" x14ac:dyDescent="0.25">
      <c r="A111" s="85"/>
    </row>
    <row r="112" spans="1:1" ht="12.75" customHeight="1" x14ac:dyDescent="0.25">
      <c r="A112" s="85"/>
    </row>
    <row r="113" spans="1:1" ht="12.75" customHeight="1" x14ac:dyDescent="0.25">
      <c r="A113" s="85"/>
    </row>
    <row r="114" spans="1:1" ht="12.75" customHeight="1" x14ac:dyDescent="0.25">
      <c r="A114" s="85"/>
    </row>
    <row r="115" spans="1:1" ht="12.75" customHeight="1" x14ac:dyDescent="0.25"/>
    <row r="116" spans="1:1" ht="12.75" customHeight="1" x14ac:dyDescent="0.25">
      <c r="A116" s="86"/>
    </row>
    <row r="117" spans="1:1" ht="12.75" customHeight="1" x14ac:dyDescent="0.25">
      <c r="A117" s="85"/>
    </row>
    <row r="118" spans="1:1" ht="12.75" customHeight="1" x14ac:dyDescent="0.25">
      <c r="A118" s="85"/>
    </row>
    <row r="119" spans="1:1" ht="12.75" customHeight="1" x14ac:dyDescent="0.25">
      <c r="A119" s="85"/>
    </row>
    <row r="120" spans="1:1" ht="12.75" customHeight="1" x14ac:dyDescent="0.25">
      <c r="A120" s="85"/>
    </row>
    <row r="121" spans="1:1" ht="12.75" customHeight="1" x14ac:dyDescent="0.25">
      <c r="A121" s="85"/>
    </row>
    <row r="122" spans="1:1" ht="12.75" customHeight="1" x14ac:dyDescent="0.25"/>
    <row r="123" spans="1:1" ht="12.75" customHeight="1" x14ac:dyDescent="0.25"/>
    <row r="124" spans="1:1" ht="12.75" customHeight="1" x14ac:dyDescent="0.25"/>
    <row r="125" spans="1:1" ht="12.75" customHeight="1" x14ac:dyDescent="0.25"/>
    <row r="126" spans="1:1" ht="12.75" customHeight="1" x14ac:dyDescent="0.25"/>
    <row r="127" spans="1:1" ht="12.75" customHeight="1" x14ac:dyDescent="0.25"/>
    <row r="128" spans="1:1"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sheetData>
  <mergeCells count="2">
    <mergeCell ref="B2:I3"/>
    <mergeCell ref="B63:I63"/>
  </mergeCells>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showGridLines="0" workbookViewId="0"/>
  </sheetViews>
  <sheetFormatPr baseColWidth="10" defaultColWidth="12.6328125" defaultRowHeight="15" customHeight="1" x14ac:dyDescent="0.25"/>
  <cols>
    <col min="1" max="1" width="12.6328125" customWidth="1"/>
    <col min="2" max="5" width="10.6328125" customWidth="1"/>
    <col min="6" max="6" width="40.6328125" customWidth="1"/>
    <col min="7" max="7" width="10.6328125" hidden="1" customWidth="1"/>
    <col min="8" max="8" width="10.6328125" customWidth="1"/>
    <col min="9" max="9" width="10.90625" customWidth="1"/>
    <col min="10" max="26" width="10.6328125" customWidth="1"/>
  </cols>
  <sheetData>
    <row r="1" spans="1:11" ht="12.75" customHeight="1" x14ac:dyDescent="0.25"/>
    <row r="2" spans="1:11" ht="12.75" customHeight="1" x14ac:dyDescent="0.25">
      <c r="B2" s="95" t="s">
        <v>0</v>
      </c>
      <c r="C2" s="96"/>
      <c r="D2" s="96"/>
      <c r="E2" s="96"/>
      <c r="F2" s="96"/>
      <c r="G2" s="96"/>
      <c r="H2" s="96"/>
      <c r="I2" s="97"/>
    </row>
    <row r="3" spans="1:11" ht="12.75" customHeight="1" x14ac:dyDescent="0.25">
      <c r="B3" s="98"/>
      <c r="C3" s="99"/>
      <c r="D3" s="99"/>
      <c r="E3" s="99"/>
      <c r="F3" s="99"/>
      <c r="G3" s="99"/>
      <c r="H3" s="99"/>
      <c r="I3" s="100"/>
    </row>
    <row r="4" spans="1:11" ht="12.75" customHeight="1" x14ac:dyDescent="0.3">
      <c r="B4" s="1" t="s">
        <v>1</v>
      </c>
      <c r="C4" s="2"/>
      <c r="D4" s="2"/>
      <c r="E4" s="2"/>
      <c r="F4" s="2"/>
      <c r="G4" s="2"/>
      <c r="H4" s="2"/>
      <c r="I4" s="2"/>
    </row>
    <row r="5" spans="1:11" ht="12.75" customHeight="1" x14ac:dyDescent="0.3">
      <c r="B5" s="3"/>
      <c r="C5" s="4"/>
      <c r="D5" s="4"/>
      <c r="E5" s="4"/>
      <c r="F5" s="4"/>
      <c r="G5" s="5" t="s">
        <v>2</v>
      </c>
      <c r="H5" s="5" t="s">
        <v>3</v>
      </c>
      <c r="I5" s="5" t="s">
        <v>4</v>
      </c>
      <c r="J5" s="5" t="s">
        <v>5</v>
      </c>
      <c r="K5" s="5" t="s">
        <v>6</v>
      </c>
    </row>
    <row r="6" spans="1:11" ht="12.75" customHeight="1" x14ac:dyDescent="0.3">
      <c r="B6" s="3" t="s">
        <v>7</v>
      </c>
      <c r="C6" s="3"/>
      <c r="D6" s="3"/>
      <c r="E6" s="3"/>
      <c r="F6" s="3"/>
      <c r="G6" s="6">
        <v>23</v>
      </c>
      <c r="H6" s="6">
        <v>23</v>
      </c>
      <c r="I6" s="6">
        <v>26</v>
      </c>
      <c r="J6" s="7">
        <f t="shared" ref="J6:J9" si="0">+H6-I6</f>
        <v>-3</v>
      </c>
      <c r="K6" s="7">
        <f t="shared" ref="K6:K9" si="1">+H6/I6-1</f>
        <v>-0.11538461538461542</v>
      </c>
    </row>
    <row r="7" spans="1:11" ht="12.75" customHeight="1" x14ac:dyDescent="0.3">
      <c r="B7" s="3" t="s">
        <v>8</v>
      </c>
      <c r="C7" s="3"/>
      <c r="D7" s="3"/>
      <c r="E7" s="3"/>
      <c r="F7" s="3"/>
      <c r="G7" s="8">
        <v>50</v>
      </c>
      <c r="H7" s="8">
        <v>50</v>
      </c>
      <c r="I7" s="8">
        <v>50</v>
      </c>
      <c r="J7" s="7">
        <f t="shared" si="0"/>
        <v>0</v>
      </c>
      <c r="K7" s="7">
        <f t="shared" si="1"/>
        <v>0</v>
      </c>
    </row>
    <row r="8" spans="1:11" ht="12.75" customHeight="1" x14ac:dyDescent="0.3">
      <c r="A8" s="9"/>
      <c r="B8" s="3" t="s">
        <v>9</v>
      </c>
      <c r="C8" s="3"/>
      <c r="D8" s="3"/>
      <c r="E8" s="3"/>
      <c r="F8" s="3"/>
      <c r="G8" s="10">
        <v>0.4</v>
      </c>
      <c r="H8" s="10">
        <v>0.4</v>
      </c>
      <c r="I8" s="10">
        <v>0.4</v>
      </c>
      <c r="J8" s="11">
        <f t="shared" si="0"/>
        <v>0</v>
      </c>
      <c r="K8" s="11">
        <f t="shared" si="1"/>
        <v>0</v>
      </c>
    </row>
    <row r="9" spans="1:11" ht="12.75" customHeight="1" x14ac:dyDescent="0.3">
      <c r="A9" s="9"/>
      <c r="B9" s="3" t="s">
        <v>10</v>
      </c>
      <c r="C9" s="3"/>
      <c r="D9" s="3"/>
      <c r="E9" s="3"/>
      <c r="F9" s="3"/>
      <c r="G9" s="12">
        <v>0.112</v>
      </c>
      <c r="H9" s="12">
        <v>0.11</v>
      </c>
      <c r="I9" s="12">
        <v>0.108</v>
      </c>
      <c r="J9" s="11">
        <f t="shared" si="0"/>
        <v>2.0000000000000018E-3</v>
      </c>
      <c r="K9" s="11">
        <f t="shared" si="1"/>
        <v>1.8518518518518601E-2</v>
      </c>
    </row>
    <row r="10" spans="1:11" ht="12.75" customHeight="1" x14ac:dyDescent="0.3">
      <c r="B10" s="3"/>
      <c r="C10" s="3"/>
      <c r="D10" s="3"/>
      <c r="E10" s="3"/>
      <c r="F10" s="3"/>
      <c r="G10" s="3"/>
      <c r="H10" s="3"/>
      <c r="I10" s="3"/>
    </row>
    <row r="11" spans="1:11" ht="12.75" customHeight="1" x14ac:dyDescent="0.3">
      <c r="B11" s="13" t="s">
        <v>11</v>
      </c>
      <c r="C11" s="14"/>
      <c r="D11" s="15"/>
      <c r="E11" s="15"/>
      <c r="F11" s="15"/>
      <c r="G11" s="14"/>
      <c r="H11" s="14"/>
      <c r="I11" s="16"/>
      <c r="J11" s="14"/>
      <c r="K11" s="16"/>
    </row>
    <row r="12" spans="1:11" ht="12.75" customHeight="1" x14ac:dyDescent="0.3">
      <c r="B12" s="17" t="s">
        <v>12</v>
      </c>
      <c r="C12" s="18"/>
      <c r="D12" s="19"/>
      <c r="E12" s="19"/>
      <c r="F12" s="19"/>
      <c r="G12" s="18"/>
      <c r="H12" s="18"/>
      <c r="I12" s="20"/>
      <c r="J12" s="18"/>
      <c r="K12" s="20"/>
    </row>
    <row r="13" spans="1:11" ht="12.75" customHeight="1" x14ac:dyDescent="0.3">
      <c r="B13" s="17"/>
      <c r="C13" s="18"/>
      <c r="D13" s="18"/>
      <c r="E13" s="18"/>
      <c r="F13" s="18"/>
      <c r="G13" s="21" t="str">
        <f t="shared" ref="G13:I13" si="2">G5</f>
        <v>AÑO 2</v>
      </c>
      <c r="H13" s="21" t="str">
        <f t="shared" si="2"/>
        <v>AÑO 1</v>
      </c>
      <c r="I13" s="22" t="str">
        <f t="shared" si="2"/>
        <v>AÑO 0</v>
      </c>
      <c r="J13" s="21" t="s">
        <v>5</v>
      </c>
      <c r="K13" s="22" t="s">
        <v>6</v>
      </c>
    </row>
    <row r="14" spans="1:11" ht="12.75" customHeight="1" x14ac:dyDescent="0.3">
      <c r="B14" s="23" t="s">
        <v>13</v>
      </c>
      <c r="C14" s="18"/>
      <c r="D14" s="18"/>
      <c r="E14" s="18"/>
      <c r="F14" s="18"/>
      <c r="G14" s="18"/>
      <c r="H14" s="18"/>
      <c r="I14" s="24"/>
      <c r="J14" s="18"/>
      <c r="K14" s="24"/>
    </row>
    <row r="15" spans="1:11" ht="12.75" customHeight="1" x14ac:dyDescent="0.3">
      <c r="B15" s="17" t="s">
        <v>14</v>
      </c>
      <c r="C15" s="18"/>
      <c r="D15" s="18"/>
      <c r="E15" s="18"/>
      <c r="F15" s="18"/>
      <c r="G15" s="25">
        <f t="shared" ref="G15:H15" si="3">H107</f>
        <v>0</v>
      </c>
      <c r="H15" s="25">
        <f t="shared" si="3"/>
        <v>0</v>
      </c>
      <c r="I15" s="26">
        <v>15</v>
      </c>
      <c r="J15" s="25">
        <f t="shared" ref="J15:J21" si="4">+H15-I15</f>
        <v>-15</v>
      </c>
      <c r="K15" s="27">
        <f t="shared" ref="K15:K21" si="5">+H15/I15-1</f>
        <v>-1</v>
      </c>
    </row>
    <row r="16" spans="1:11" ht="12.75" customHeight="1" x14ac:dyDescent="0.3">
      <c r="B16" s="17" t="s">
        <v>15</v>
      </c>
      <c r="C16" s="18"/>
      <c r="D16" s="18"/>
      <c r="E16" s="18"/>
      <c r="F16" s="18"/>
      <c r="G16" s="25">
        <v>0</v>
      </c>
      <c r="H16" s="25">
        <v>0</v>
      </c>
      <c r="I16" s="26">
        <v>65</v>
      </c>
      <c r="J16" s="25">
        <f t="shared" si="4"/>
        <v>-65</v>
      </c>
      <c r="K16" s="27">
        <f t="shared" si="5"/>
        <v>-1</v>
      </c>
    </row>
    <row r="17" spans="2:13" ht="12.75" customHeight="1" x14ac:dyDescent="0.3">
      <c r="B17" s="17" t="s">
        <v>16</v>
      </c>
      <c r="C17" s="18"/>
      <c r="D17" s="18"/>
      <c r="E17" s="18"/>
      <c r="F17" s="18"/>
      <c r="G17" s="25">
        <v>375</v>
      </c>
      <c r="H17" s="25">
        <v>375</v>
      </c>
      <c r="I17" s="26">
        <v>315</v>
      </c>
      <c r="J17" s="25">
        <f t="shared" si="4"/>
        <v>60</v>
      </c>
      <c r="K17" s="27">
        <f t="shared" si="5"/>
        <v>0.19047619047619047</v>
      </c>
    </row>
    <row r="18" spans="2:13" ht="12.75" customHeight="1" x14ac:dyDescent="0.3">
      <c r="B18" s="17" t="s">
        <v>17</v>
      </c>
      <c r="C18" s="18"/>
      <c r="D18" s="18"/>
      <c r="E18" s="18"/>
      <c r="F18" s="18"/>
      <c r="G18" s="28">
        <v>615</v>
      </c>
      <c r="H18" s="29">
        <v>615</v>
      </c>
      <c r="I18" s="30">
        <v>415</v>
      </c>
      <c r="J18" s="29">
        <f t="shared" si="4"/>
        <v>200</v>
      </c>
      <c r="K18" s="31">
        <f t="shared" si="5"/>
        <v>0.48192771084337349</v>
      </c>
      <c r="M18" s="32"/>
    </row>
    <row r="19" spans="2:13" ht="12.75" customHeight="1" x14ac:dyDescent="0.3">
      <c r="B19" s="17" t="s">
        <v>18</v>
      </c>
      <c r="C19" s="18"/>
      <c r="D19" s="18"/>
      <c r="E19" s="18"/>
      <c r="F19" s="18"/>
      <c r="G19" s="25">
        <f t="shared" ref="G19:I19" si="6">SUM(G15:G18)</f>
        <v>990</v>
      </c>
      <c r="H19" s="25">
        <f t="shared" si="6"/>
        <v>990</v>
      </c>
      <c r="I19" s="26">
        <f t="shared" si="6"/>
        <v>810</v>
      </c>
      <c r="J19" s="25">
        <f t="shared" si="4"/>
        <v>180</v>
      </c>
      <c r="K19" s="27">
        <f t="shared" si="5"/>
        <v>0.22222222222222232</v>
      </c>
    </row>
    <row r="20" spans="2:13" ht="12.75" customHeight="1" x14ac:dyDescent="0.3">
      <c r="B20" s="17" t="s">
        <v>19</v>
      </c>
      <c r="C20" s="18"/>
      <c r="D20" s="18"/>
      <c r="E20" s="18"/>
      <c r="F20" s="18"/>
      <c r="G20" s="25">
        <v>1000</v>
      </c>
      <c r="H20" s="25">
        <v>1000</v>
      </c>
      <c r="I20" s="26">
        <v>870</v>
      </c>
      <c r="J20" s="25">
        <f t="shared" si="4"/>
        <v>130</v>
      </c>
      <c r="K20" s="27">
        <f t="shared" si="5"/>
        <v>0.14942528735632177</v>
      </c>
    </row>
    <row r="21" spans="2:13" ht="12.75" customHeight="1" x14ac:dyDescent="0.3">
      <c r="B21" s="17" t="s">
        <v>20</v>
      </c>
      <c r="C21" s="18"/>
      <c r="D21" s="18"/>
      <c r="E21" s="18"/>
      <c r="F21" s="18"/>
      <c r="G21" s="33">
        <f t="shared" ref="G21:I21" si="7">SUM(G19:G20)</f>
        <v>1990</v>
      </c>
      <c r="H21" s="33">
        <f t="shared" si="7"/>
        <v>1990</v>
      </c>
      <c r="I21" s="34">
        <f t="shared" si="7"/>
        <v>1680</v>
      </c>
      <c r="J21" s="33">
        <f t="shared" si="4"/>
        <v>310</v>
      </c>
      <c r="K21" s="35">
        <f t="shared" si="5"/>
        <v>0.18452380952380953</v>
      </c>
    </row>
    <row r="22" spans="2:13" ht="12.75" customHeight="1" x14ac:dyDescent="0.3">
      <c r="B22" s="17"/>
      <c r="C22" s="18"/>
      <c r="D22" s="18"/>
      <c r="E22" s="18"/>
      <c r="F22" s="18"/>
      <c r="G22" s="25"/>
      <c r="H22" s="25"/>
      <c r="I22" s="26"/>
      <c r="J22" s="25"/>
      <c r="K22" s="27"/>
    </row>
    <row r="23" spans="2:13" ht="12.75" customHeight="1" x14ac:dyDescent="0.3">
      <c r="B23" s="23" t="s">
        <v>21</v>
      </c>
      <c r="C23" s="18"/>
      <c r="D23" s="18"/>
      <c r="E23" s="18"/>
      <c r="F23" s="18"/>
      <c r="G23" s="25"/>
      <c r="H23" s="25"/>
      <c r="I23" s="26"/>
      <c r="J23" s="25"/>
      <c r="K23" s="27"/>
    </row>
    <row r="24" spans="2:13" ht="12.75" customHeight="1" x14ac:dyDescent="0.3">
      <c r="B24" s="17" t="s">
        <v>22</v>
      </c>
      <c r="C24" s="18"/>
      <c r="D24" s="18"/>
      <c r="E24" s="18"/>
      <c r="F24" s="18"/>
      <c r="G24" s="25">
        <v>60</v>
      </c>
      <c r="H24" s="25">
        <v>60</v>
      </c>
      <c r="I24" s="26">
        <v>30</v>
      </c>
      <c r="J24" s="25">
        <f t="shared" ref="J24:J34" si="8">+H24-I24</f>
        <v>30</v>
      </c>
      <c r="K24" s="27">
        <f t="shared" ref="K24:K34" si="9">+H24/I24-1</f>
        <v>1</v>
      </c>
    </row>
    <row r="25" spans="2:13" ht="12.75" customHeight="1" x14ac:dyDescent="0.3">
      <c r="B25" s="17" t="s">
        <v>23</v>
      </c>
      <c r="C25" s="18"/>
      <c r="D25" s="18"/>
      <c r="E25" s="18"/>
      <c r="F25" s="18"/>
      <c r="G25" s="25">
        <v>110</v>
      </c>
      <c r="H25" s="25">
        <v>110</v>
      </c>
      <c r="I25" s="26">
        <v>60</v>
      </c>
      <c r="J25" s="25">
        <f t="shared" si="8"/>
        <v>50</v>
      </c>
      <c r="K25" s="27">
        <f t="shared" si="9"/>
        <v>0.83333333333333326</v>
      </c>
    </row>
    <row r="26" spans="2:13" ht="12.75" customHeight="1" x14ac:dyDescent="0.3">
      <c r="B26" s="17" t="s">
        <v>24</v>
      </c>
      <c r="C26" s="18"/>
      <c r="D26" s="18"/>
      <c r="E26" s="18"/>
      <c r="F26" s="18"/>
      <c r="G26" s="29">
        <v>140</v>
      </c>
      <c r="H26" s="29">
        <v>140</v>
      </c>
      <c r="I26" s="30">
        <v>130</v>
      </c>
      <c r="J26" s="29">
        <f t="shared" si="8"/>
        <v>10</v>
      </c>
      <c r="K26" s="31">
        <f t="shared" si="9"/>
        <v>7.6923076923076872E-2</v>
      </c>
    </row>
    <row r="27" spans="2:13" ht="12.75" customHeight="1" x14ac:dyDescent="0.3">
      <c r="B27" s="17" t="s">
        <v>25</v>
      </c>
      <c r="C27" s="18"/>
      <c r="D27" s="18"/>
      <c r="E27" s="18"/>
      <c r="F27" s="18"/>
      <c r="G27" s="25">
        <f t="shared" ref="G27:I27" si="10">SUM(G24:G26)</f>
        <v>310</v>
      </c>
      <c r="H27" s="25">
        <f t="shared" si="10"/>
        <v>310</v>
      </c>
      <c r="I27" s="26">
        <f t="shared" si="10"/>
        <v>220</v>
      </c>
      <c r="J27" s="25">
        <f t="shared" si="8"/>
        <v>90</v>
      </c>
      <c r="K27" s="27">
        <f t="shared" si="9"/>
        <v>0.40909090909090917</v>
      </c>
    </row>
    <row r="28" spans="2:13" ht="12.75" customHeight="1" x14ac:dyDescent="0.3">
      <c r="B28" s="17" t="s">
        <v>26</v>
      </c>
      <c r="C28" s="18"/>
      <c r="D28" s="18"/>
      <c r="E28" s="18"/>
      <c r="F28" s="18"/>
      <c r="G28" s="29">
        <v>754</v>
      </c>
      <c r="H28" s="29">
        <v>754</v>
      </c>
      <c r="I28" s="30">
        <v>580</v>
      </c>
      <c r="J28" s="29">
        <f t="shared" si="8"/>
        <v>174</v>
      </c>
      <c r="K28" s="31">
        <f t="shared" si="9"/>
        <v>0.30000000000000004</v>
      </c>
    </row>
    <row r="29" spans="2:13" ht="12.75" customHeight="1" x14ac:dyDescent="0.3">
      <c r="B29" s="17" t="s">
        <v>27</v>
      </c>
      <c r="C29" s="18"/>
      <c r="D29" s="18"/>
      <c r="E29" s="18"/>
      <c r="F29" s="18"/>
      <c r="G29" s="25">
        <f t="shared" ref="G29:I29" si="11">SUM(G27:G28)</f>
        <v>1064</v>
      </c>
      <c r="H29" s="25">
        <f t="shared" si="11"/>
        <v>1064</v>
      </c>
      <c r="I29" s="26">
        <f t="shared" si="11"/>
        <v>800</v>
      </c>
      <c r="J29" s="25">
        <f t="shared" si="8"/>
        <v>264</v>
      </c>
      <c r="K29" s="27">
        <f t="shared" si="9"/>
        <v>0.33000000000000007</v>
      </c>
    </row>
    <row r="30" spans="2:13" ht="12.75" customHeight="1" x14ac:dyDescent="0.3">
      <c r="B30" s="17" t="s">
        <v>28</v>
      </c>
      <c r="C30" s="18"/>
      <c r="D30" s="18"/>
      <c r="E30" s="18"/>
      <c r="F30" s="18"/>
      <c r="G30" s="25">
        <v>40</v>
      </c>
      <c r="H30" s="25">
        <v>40</v>
      </c>
      <c r="I30" s="26">
        <v>40</v>
      </c>
      <c r="J30" s="25">
        <f t="shared" si="8"/>
        <v>0</v>
      </c>
      <c r="K30" s="27">
        <f t="shared" si="9"/>
        <v>0</v>
      </c>
    </row>
    <row r="31" spans="2:13" ht="12.75" customHeight="1" x14ac:dyDescent="0.3">
      <c r="B31" s="17" t="s">
        <v>29</v>
      </c>
      <c r="C31" s="18"/>
      <c r="D31" s="18"/>
      <c r="E31" s="18"/>
      <c r="F31" s="18"/>
      <c r="G31" s="25">
        <v>130</v>
      </c>
      <c r="H31" s="25">
        <v>130</v>
      </c>
      <c r="I31" s="26">
        <v>130</v>
      </c>
      <c r="J31" s="25">
        <f t="shared" si="8"/>
        <v>0</v>
      </c>
      <c r="K31" s="27">
        <f t="shared" si="9"/>
        <v>0</v>
      </c>
    </row>
    <row r="32" spans="2:13" ht="12.75" customHeight="1" x14ac:dyDescent="0.3">
      <c r="B32" s="17" t="s">
        <v>30</v>
      </c>
      <c r="C32" s="18"/>
      <c r="D32" s="18"/>
      <c r="E32" s="18"/>
      <c r="F32" s="18"/>
      <c r="G32" s="29">
        <f t="shared" ref="G32:H32" si="12">H32+G53</f>
        <v>881.96000000000026</v>
      </c>
      <c r="H32" s="29">
        <f t="shared" si="12"/>
        <v>765.98000000000013</v>
      </c>
      <c r="I32" s="30">
        <v>710</v>
      </c>
      <c r="J32" s="29">
        <f t="shared" si="8"/>
        <v>55.980000000000132</v>
      </c>
      <c r="K32" s="31">
        <f t="shared" si="9"/>
        <v>7.8845070422535413E-2</v>
      </c>
    </row>
    <row r="33" spans="2:14" ht="12.75" customHeight="1" x14ac:dyDescent="0.3">
      <c r="B33" s="17" t="s">
        <v>31</v>
      </c>
      <c r="C33" s="18"/>
      <c r="D33" s="18"/>
      <c r="E33" s="18"/>
      <c r="F33" s="18"/>
      <c r="G33" s="25">
        <f t="shared" ref="G33:I33" si="13">SUM(G31:G32)</f>
        <v>1011.9600000000003</v>
      </c>
      <c r="H33" s="25">
        <f t="shared" si="13"/>
        <v>895.98000000000013</v>
      </c>
      <c r="I33" s="26">
        <f t="shared" si="13"/>
        <v>840</v>
      </c>
      <c r="J33" s="25">
        <f t="shared" si="8"/>
        <v>55.980000000000132</v>
      </c>
      <c r="K33" s="27">
        <f t="shared" si="9"/>
        <v>6.6642857142857226E-2</v>
      </c>
    </row>
    <row r="34" spans="2:14" ht="12.75" customHeight="1" x14ac:dyDescent="0.3">
      <c r="B34" s="36" t="s">
        <v>32</v>
      </c>
      <c r="C34" s="37"/>
      <c r="D34" s="37"/>
      <c r="E34" s="37"/>
      <c r="F34" s="37"/>
      <c r="G34" s="38">
        <f t="shared" ref="G34:I34" si="14">SUM(G29,G30,G33)</f>
        <v>2115.96</v>
      </c>
      <c r="H34" s="38">
        <f t="shared" si="14"/>
        <v>1999.98</v>
      </c>
      <c r="I34" s="39">
        <f t="shared" si="14"/>
        <v>1680</v>
      </c>
      <c r="J34" s="38">
        <f t="shared" si="8"/>
        <v>319.98</v>
      </c>
      <c r="K34" s="40">
        <f t="shared" si="9"/>
        <v>0.19046428571428575</v>
      </c>
    </row>
    <row r="35" spans="2:14" ht="12.75" customHeight="1" x14ac:dyDescent="0.3">
      <c r="B35" s="3"/>
      <c r="C35" s="3"/>
      <c r="D35" s="3"/>
      <c r="E35" s="3"/>
      <c r="F35" s="3"/>
      <c r="G35" s="3"/>
      <c r="H35" s="3"/>
      <c r="I35" s="3"/>
      <c r="J35" s="41"/>
      <c r="K35" s="42"/>
    </row>
    <row r="36" spans="2:14" ht="12.75" customHeight="1" x14ac:dyDescent="0.3">
      <c r="B36" s="13" t="s">
        <v>11</v>
      </c>
      <c r="C36" s="43"/>
      <c r="D36" s="44"/>
      <c r="E36" s="44"/>
      <c r="F36" s="44"/>
      <c r="G36" s="43"/>
      <c r="H36" s="43"/>
      <c r="I36" s="45"/>
      <c r="J36" s="43"/>
      <c r="K36" s="45"/>
    </row>
    <row r="37" spans="2:14" ht="12.75" customHeight="1" x14ac:dyDescent="0.3">
      <c r="B37" s="17" t="s">
        <v>33</v>
      </c>
      <c r="C37" s="18"/>
      <c r="D37" s="46"/>
      <c r="E37" s="46"/>
      <c r="F37" s="46"/>
      <c r="G37" s="18"/>
      <c r="H37" s="18"/>
      <c r="I37" s="20"/>
      <c r="J37" s="18"/>
      <c r="K37" s="20"/>
    </row>
    <row r="38" spans="2:14" ht="12.75" customHeight="1" x14ac:dyDescent="0.3">
      <c r="B38" s="17"/>
      <c r="C38" s="18"/>
      <c r="D38" s="18"/>
      <c r="E38" s="18"/>
      <c r="F38" s="18"/>
      <c r="G38" s="21" t="str">
        <f t="shared" ref="G38:I38" si="15">G5</f>
        <v>AÑO 2</v>
      </c>
      <c r="H38" s="21" t="str">
        <f t="shared" si="15"/>
        <v>AÑO 1</v>
      </c>
      <c r="I38" s="47" t="str">
        <f t="shared" si="15"/>
        <v>AÑO 0</v>
      </c>
      <c r="J38" s="21" t="s">
        <v>5</v>
      </c>
      <c r="K38" s="47" t="s">
        <v>6</v>
      </c>
    </row>
    <row r="39" spans="2:14" ht="12.75" customHeight="1" x14ac:dyDescent="0.3">
      <c r="B39" s="17" t="s">
        <v>34</v>
      </c>
      <c r="C39" s="18"/>
      <c r="D39" s="18"/>
      <c r="E39" s="18"/>
      <c r="F39" s="18"/>
      <c r="G39" s="18"/>
      <c r="H39" s="18"/>
      <c r="I39" s="48"/>
      <c r="J39" s="18"/>
      <c r="K39" s="48"/>
    </row>
    <row r="40" spans="2:14" ht="12.75" customHeight="1" x14ac:dyDescent="0.3">
      <c r="B40" s="17" t="s">
        <v>35</v>
      </c>
      <c r="C40" s="18"/>
      <c r="D40" s="18"/>
      <c r="E40" s="18"/>
      <c r="F40" s="18"/>
      <c r="G40" s="49">
        <v>3100</v>
      </c>
      <c r="H40" s="49">
        <v>3000</v>
      </c>
      <c r="I40" s="50">
        <v>2850</v>
      </c>
      <c r="J40" s="49">
        <f t="shared" ref="J40:J50" si="16">+H40-I40</f>
        <v>150</v>
      </c>
      <c r="K40" s="27">
        <f t="shared" ref="K40:K50" si="17">+H40/I40-1</f>
        <v>5.2631578947368363E-2</v>
      </c>
      <c r="M40" s="32" t="s">
        <v>82</v>
      </c>
    </row>
    <row r="41" spans="2:14" ht="12.75" customHeight="1" x14ac:dyDescent="0.3">
      <c r="B41" s="17" t="s">
        <v>36</v>
      </c>
      <c r="C41" s="18"/>
      <c r="D41" s="18"/>
      <c r="E41" s="18"/>
      <c r="F41" s="18"/>
      <c r="G41" s="28">
        <v>2616.1999999999998</v>
      </c>
      <c r="H41" s="28">
        <v>2616.1999999999998</v>
      </c>
      <c r="I41" s="51">
        <v>2497</v>
      </c>
      <c r="J41" s="28">
        <f t="shared" si="16"/>
        <v>119.19999999999982</v>
      </c>
      <c r="K41" s="31">
        <f t="shared" si="17"/>
        <v>4.7737284741689923E-2</v>
      </c>
    </row>
    <row r="42" spans="2:14" ht="12.75" customHeight="1" x14ac:dyDescent="0.3">
      <c r="B42" s="52" t="s">
        <v>37</v>
      </c>
      <c r="C42" s="18"/>
      <c r="D42" s="18"/>
      <c r="E42" s="18"/>
      <c r="F42" s="18"/>
      <c r="G42" s="49">
        <f t="shared" ref="G42:I42" si="18">G40-G41</f>
        <v>483.80000000000018</v>
      </c>
      <c r="H42" s="49">
        <f t="shared" si="18"/>
        <v>383.80000000000018</v>
      </c>
      <c r="I42" s="50">
        <f t="shared" si="18"/>
        <v>353</v>
      </c>
      <c r="J42" s="49">
        <f t="shared" si="16"/>
        <v>30.800000000000182</v>
      </c>
      <c r="K42" s="27">
        <f t="shared" si="17"/>
        <v>8.7252124645892826E-2</v>
      </c>
    </row>
    <row r="43" spans="2:14" ht="12.75" customHeight="1" x14ac:dyDescent="0.3">
      <c r="B43" s="17" t="s">
        <v>38</v>
      </c>
      <c r="C43" s="18"/>
      <c r="D43" s="18"/>
      <c r="E43" s="18"/>
      <c r="F43" s="18"/>
      <c r="G43" s="28">
        <v>100</v>
      </c>
      <c r="H43" s="28">
        <v>100</v>
      </c>
      <c r="I43" s="51">
        <v>90</v>
      </c>
      <c r="J43" s="28">
        <f t="shared" si="16"/>
        <v>10</v>
      </c>
      <c r="K43" s="31">
        <f t="shared" si="17"/>
        <v>0.11111111111111116</v>
      </c>
    </row>
    <row r="44" spans="2:14" ht="12.75" customHeight="1" x14ac:dyDescent="0.3">
      <c r="B44" s="17" t="s">
        <v>39</v>
      </c>
      <c r="C44" s="18"/>
      <c r="D44" s="18"/>
      <c r="E44" s="18"/>
      <c r="F44" s="18"/>
      <c r="G44" s="49">
        <f t="shared" ref="G44:I44" si="19">G42-G43</f>
        <v>383.80000000000018</v>
      </c>
      <c r="H44" s="49">
        <f t="shared" si="19"/>
        <v>283.80000000000018</v>
      </c>
      <c r="I44" s="50">
        <f t="shared" si="19"/>
        <v>263</v>
      </c>
      <c r="J44" s="49">
        <f t="shared" si="16"/>
        <v>20.800000000000182</v>
      </c>
      <c r="K44" s="27">
        <f t="shared" si="17"/>
        <v>7.9087452471483521E-2</v>
      </c>
    </row>
    <row r="45" spans="2:14" ht="12.75" customHeight="1" x14ac:dyDescent="0.3">
      <c r="B45" s="17" t="s">
        <v>40</v>
      </c>
      <c r="C45" s="18"/>
      <c r="D45" s="18"/>
      <c r="E45" s="18"/>
      <c r="F45" s="18"/>
      <c r="G45" s="28">
        <v>88</v>
      </c>
      <c r="H45" s="28">
        <v>88</v>
      </c>
      <c r="I45" s="51">
        <v>60</v>
      </c>
      <c r="J45" s="28">
        <f t="shared" si="16"/>
        <v>28</v>
      </c>
      <c r="K45" s="31">
        <f t="shared" si="17"/>
        <v>0.46666666666666656</v>
      </c>
      <c r="L45" s="53">
        <f t="shared" ref="L45:M45" si="20">+H45/H29</f>
        <v>8.2706766917293228E-2</v>
      </c>
      <c r="M45" s="53">
        <f t="shared" si="20"/>
        <v>7.4999999999999997E-2</v>
      </c>
      <c r="N45" s="53">
        <f>+G45/G29</f>
        <v>8.2706766917293228E-2</v>
      </c>
    </row>
    <row r="46" spans="2:14" ht="12.75" customHeight="1" x14ac:dyDescent="0.3">
      <c r="B46" s="17" t="s">
        <v>41</v>
      </c>
      <c r="C46" s="18"/>
      <c r="D46" s="18"/>
      <c r="E46" s="18"/>
      <c r="F46" s="18"/>
      <c r="G46" s="49">
        <f t="shared" ref="G46:I46" si="21">G44-G45</f>
        <v>295.80000000000018</v>
      </c>
      <c r="H46" s="49">
        <f t="shared" si="21"/>
        <v>195.80000000000018</v>
      </c>
      <c r="I46" s="50">
        <f t="shared" si="21"/>
        <v>203</v>
      </c>
      <c r="J46" s="49">
        <f t="shared" si="16"/>
        <v>-7.1999999999998181</v>
      </c>
      <c r="K46" s="27">
        <f t="shared" si="17"/>
        <v>-3.5467980295565638E-2</v>
      </c>
    </row>
    <row r="47" spans="2:14" ht="12.75" customHeight="1" x14ac:dyDescent="0.3">
      <c r="B47" s="17" t="s">
        <v>42</v>
      </c>
      <c r="C47" s="54"/>
      <c r="D47" s="18"/>
      <c r="E47" s="18"/>
      <c r="F47" s="18"/>
      <c r="G47" s="28">
        <f t="shared" ref="G47:I47" si="22">G46*G8</f>
        <v>118.32000000000008</v>
      </c>
      <c r="H47" s="28">
        <f t="shared" si="22"/>
        <v>78.320000000000078</v>
      </c>
      <c r="I47" s="51">
        <f t="shared" si="22"/>
        <v>81.2</v>
      </c>
      <c r="J47" s="28">
        <f t="shared" si="16"/>
        <v>-2.8799999999999244</v>
      </c>
      <c r="K47" s="31">
        <f t="shared" si="17"/>
        <v>-3.5467980295565527E-2</v>
      </c>
    </row>
    <row r="48" spans="2:14" ht="12.75" customHeight="1" x14ac:dyDescent="0.3">
      <c r="B48" s="17" t="s">
        <v>43</v>
      </c>
      <c r="C48" s="18"/>
      <c r="D48" s="18"/>
      <c r="E48" s="18"/>
      <c r="F48" s="18"/>
      <c r="G48" s="49">
        <f t="shared" ref="G48:I48" si="23">G46-G47</f>
        <v>177.4800000000001</v>
      </c>
      <c r="H48" s="49">
        <f t="shared" si="23"/>
        <v>117.4800000000001</v>
      </c>
      <c r="I48" s="50">
        <f t="shared" si="23"/>
        <v>121.8</v>
      </c>
      <c r="J48" s="49">
        <f t="shared" si="16"/>
        <v>-4.3199999999998937</v>
      </c>
      <c r="K48" s="27">
        <f t="shared" si="17"/>
        <v>-3.5467980295565638E-2</v>
      </c>
      <c r="L48" s="53">
        <f t="shared" ref="L48:M48" si="24">+H47/H46</f>
        <v>0.4</v>
      </c>
      <c r="M48" s="53">
        <f t="shared" si="24"/>
        <v>0.4</v>
      </c>
      <c r="N48" s="53">
        <f>+G47/G46</f>
        <v>0.4</v>
      </c>
    </row>
    <row r="49" spans="2:11" ht="12.75" customHeight="1" x14ac:dyDescent="0.3">
      <c r="B49" s="17" t="s">
        <v>44</v>
      </c>
      <c r="C49" s="18"/>
      <c r="D49" s="18"/>
      <c r="E49" s="18"/>
      <c r="F49" s="18"/>
      <c r="G49" s="28">
        <v>4</v>
      </c>
      <c r="H49" s="28">
        <v>4</v>
      </c>
      <c r="I49" s="51">
        <v>4</v>
      </c>
      <c r="J49" s="28">
        <f t="shared" si="16"/>
        <v>0</v>
      </c>
      <c r="K49" s="31">
        <f t="shared" si="17"/>
        <v>0</v>
      </c>
    </row>
    <row r="50" spans="2:11" ht="12.75" customHeight="1" x14ac:dyDescent="0.3">
      <c r="B50" s="17" t="s">
        <v>45</v>
      </c>
      <c r="C50" s="18"/>
      <c r="D50" s="18"/>
      <c r="E50" s="18"/>
      <c r="F50" s="18"/>
      <c r="G50" s="55">
        <f t="shared" ref="G50:I50" si="25">G48-G49</f>
        <v>173.4800000000001</v>
      </c>
      <c r="H50" s="55">
        <f t="shared" si="25"/>
        <v>113.4800000000001</v>
      </c>
      <c r="I50" s="56">
        <f t="shared" si="25"/>
        <v>117.8</v>
      </c>
      <c r="J50" s="55">
        <f t="shared" si="16"/>
        <v>-4.3199999999998937</v>
      </c>
      <c r="K50" s="35">
        <f t="shared" si="17"/>
        <v>-3.6672325976230047E-2</v>
      </c>
    </row>
    <row r="51" spans="2:11" ht="12.75" customHeight="1" x14ac:dyDescent="0.3">
      <c r="B51" s="17"/>
      <c r="C51" s="18"/>
      <c r="D51" s="18"/>
      <c r="E51" s="18"/>
      <c r="F51" s="18"/>
      <c r="G51" s="49"/>
      <c r="H51" s="49"/>
      <c r="I51" s="50"/>
      <c r="J51" s="49"/>
      <c r="K51" s="27"/>
    </row>
    <row r="52" spans="2:11" ht="12.75" customHeight="1" x14ac:dyDescent="0.3">
      <c r="B52" s="52" t="s">
        <v>46</v>
      </c>
      <c r="C52" s="18"/>
      <c r="D52" s="18"/>
      <c r="E52" s="18"/>
      <c r="F52" s="18"/>
      <c r="G52" s="49">
        <v>57.5</v>
      </c>
      <c r="H52" s="49">
        <v>57.5</v>
      </c>
      <c r="I52" s="50">
        <v>53</v>
      </c>
      <c r="J52" s="49">
        <f t="shared" ref="J52:J53" si="26">+H52-I52</f>
        <v>4.5</v>
      </c>
      <c r="K52" s="27">
        <f t="shared" ref="K52:K53" si="27">+H52/I52-1</f>
        <v>8.4905660377358583E-2</v>
      </c>
    </row>
    <row r="53" spans="2:11" ht="12.75" customHeight="1" x14ac:dyDescent="0.3">
      <c r="B53" s="17" t="s">
        <v>47</v>
      </c>
      <c r="C53" s="18"/>
      <c r="D53" s="18"/>
      <c r="E53" s="18"/>
      <c r="F53" s="18"/>
      <c r="G53" s="49">
        <f t="shared" ref="G53:I53" si="28">G50-G52</f>
        <v>115.9800000000001</v>
      </c>
      <c r="H53" s="49">
        <f t="shared" si="28"/>
        <v>55.980000000000103</v>
      </c>
      <c r="I53" s="50">
        <f t="shared" si="28"/>
        <v>64.8</v>
      </c>
      <c r="J53" s="49">
        <f t="shared" si="26"/>
        <v>-8.8199999999998937</v>
      </c>
      <c r="K53" s="27">
        <f t="shared" si="27"/>
        <v>-0.13611111111110952</v>
      </c>
    </row>
    <row r="54" spans="2:11" ht="12.75" customHeight="1" x14ac:dyDescent="0.3">
      <c r="B54" s="17"/>
      <c r="C54" s="18"/>
      <c r="D54" s="18"/>
      <c r="E54" s="18"/>
      <c r="F54" s="18"/>
      <c r="G54" s="18"/>
      <c r="H54" s="18"/>
      <c r="I54" s="20"/>
      <c r="J54" s="18"/>
      <c r="K54" s="20"/>
    </row>
    <row r="55" spans="2:11" ht="12.75" customHeight="1" x14ac:dyDescent="0.3">
      <c r="B55" s="57" t="s">
        <v>48</v>
      </c>
      <c r="C55" s="37"/>
      <c r="D55" s="37"/>
      <c r="E55" s="37"/>
      <c r="F55" s="37"/>
      <c r="G55" s="37"/>
      <c r="H55" s="37"/>
      <c r="I55" s="58"/>
      <c r="J55" s="37"/>
      <c r="K55" s="58"/>
    </row>
    <row r="56" spans="2:11" ht="12.75" customHeight="1" x14ac:dyDescent="0.3">
      <c r="B56" s="3"/>
      <c r="C56" s="3"/>
      <c r="D56" s="3"/>
      <c r="E56" s="3"/>
      <c r="F56" s="3"/>
      <c r="G56" s="3"/>
      <c r="H56" s="3"/>
      <c r="I56" s="3"/>
      <c r="J56" s="41"/>
      <c r="K56" s="42"/>
    </row>
    <row r="57" spans="2:11" ht="12.75" customHeight="1" x14ac:dyDescent="0.3">
      <c r="B57" s="59" t="s">
        <v>49</v>
      </c>
      <c r="C57" s="3"/>
      <c r="D57" s="3"/>
      <c r="E57" s="3"/>
      <c r="F57" s="3"/>
      <c r="G57" s="12"/>
      <c r="H57" s="12"/>
      <c r="I57" s="12"/>
      <c r="J57" s="41"/>
      <c r="K57" s="42"/>
    </row>
    <row r="58" spans="2:11" ht="12.75" customHeight="1" x14ac:dyDescent="0.3">
      <c r="B58" s="3" t="s">
        <v>50</v>
      </c>
      <c r="C58" s="3"/>
      <c r="D58" s="3"/>
      <c r="E58" s="3"/>
      <c r="F58" s="3"/>
      <c r="G58" s="6">
        <f t="shared" ref="G58:I58" si="29">G50/G7</f>
        <v>3.469600000000002</v>
      </c>
      <c r="H58" s="6">
        <f t="shared" si="29"/>
        <v>2.2696000000000023</v>
      </c>
      <c r="I58" s="6">
        <f t="shared" si="29"/>
        <v>2.3559999999999999</v>
      </c>
      <c r="J58" s="41">
        <f t="shared" ref="J58:J60" si="30">+H58-I58</f>
        <v>-8.639999999999759E-2</v>
      </c>
      <c r="K58" s="42">
        <f t="shared" ref="K58:K60" si="31">+H58/I58-1</f>
        <v>-3.6672325976229825E-2</v>
      </c>
    </row>
    <row r="59" spans="2:11" ht="12.75" customHeight="1" x14ac:dyDescent="0.3">
      <c r="B59" s="3" t="s">
        <v>51</v>
      </c>
      <c r="C59" s="3"/>
      <c r="D59" s="3"/>
      <c r="E59" s="3"/>
      <c r="F59" s="3"/>
      <c r="G59" s="6">
        <f t="shared" ref="G59:I59" si="32">G52/G7</f>
        <v>1.1499999999999999</v>
      </c>
      <c r="H59" s="6">
        <f t="shared" si="32"/>
        <v>1.1499999999999999</v>
      </c>
      <c r="I59" s="6">
        <f t="shared" si="32"/>
        <v>1.06</v>
      </c>
      <c r="J59" s="41">
        <f t="shared" si="30"/>
        <v>8.9999999999999858E-2</v>
      </c>
      <c r="K59" s="42">
        <f t="shared" si="31"/>
        <v>8.4905660377358361E-2</v>
      </c>
    </row>
    <row r="60" spans="2:11" ht="12.75" customHeight="1" x14ac:dyDescent="0.3">
      <c r="B60" s="3" t="s">
        <v>52</v>
      </c>
      <c r="C60" s="3"/>
      <c r="D60" s="3"/>
      <c r="E60" s="3"/>
      <c r="F60" s="3"/>
      <c r="G60" s="6">
        <f t="shared" ref="G60:I60" si="33">G33/G7</f>
        <v>20.239200000000004</v>
      </c>
      <c r="H60" s="6">
        <f t="shared" si="33"/>
        <v>17.919600000000003</v>
      </c>
      <c r="I60" s="6">
        <f t="shared" si="33"/>
        <v>16.8</v>
      </c>
      <c r="J60" s="41">
        <f t="shared" si="30"/>
        <v>1.1196000000000019</v>
      </c>
      <c r="K60" s="42">
        <f t="shared" si="31"/>
        <v>6.6642857142857226E-2</v>
      </c>
    </row>
    <row r="61" spans="2:11" ht="12.75" customHeight="1" x14ac:dyDescent="0.25"/>
    <row r="62" spans="2:11" ht="12.75" customHeight="1" x14ac:dyDescent="0.25"/>
    <row r="63" spans="2:11" ht="12.75" customHeight="1" x14ac:dyDescent="0.3">
      <c r="B63" s="101" t="s">
        <v>53</v>
      </c>
      <c r="C63" s="102"/>
      <c r="D63" s="102"/>
      <c r="E63" s="102"/>
      <c r="F63" s="102"/>
      <c r="G63" s="102"/>
      <c r="H63" s="102"/>
      <c r="I63" s="103"/>
    </row>
    <row r="64" spans="2:11" ht="12.75" customHeight="1" x14ac:dyDescent="0.3">
      <c r="B64" s="60" t="s">
        <v>54</v>
      </c>
      <c r="C64" s="61"/>
      <c r="D64" s="61"/>
      <c r="E64" s="61"/>
      <c r="F64" s="61"/>
      <c r="G64" s="61"/>
      <c r="H64" s="61"/>
      <c r="I64" s="61"/>
    </row>
    <row r="65" spans="1:26" ht="12.75" customHeight="1" x14ac:dyDescent="0.3">
      <c r="B65" s="60" t="s">
        <v>55</v>
      </c>
      <c r="C65" s="61"/>
      <c r="D65" s="61"/>
      <c r="E65" s="61"/>
      <c r="F65" s="61"/>
      <c r="G65" s="61"/>
      <c r="H65" s="61"/>
      <c r="I65" s="61"/>
    </row>
    <row r="66" spans="1:26" ht="12.75" customHeight="1" x14ac:dyDescent="0.3">
      <c r="A66" s="62"/>
      <c r="B66" s="63"/>
      <c r="C66" s="64"/>
      <c r="D66" s="64"/>
      <c r="E66" s="64"/>
      <c r="F66" s="64"/>
      <c r="G66" s="64"/>
      <c r="H66" s="65"/>
      <c r="I66" s="65"/>
      <c r="J66" s="65"/>
      <c r="K66" s="65"/>
      <c r="L66" s="62"/>
      <c r="M66" s="62"/>
      <c r="N66" s="62"/>
      <c r="O66" s="62"/>
      <c r="P66" s="62"/>
      <c r="Q66" s="62"/>
      <c r="R66" s="62"/>
      <c r="S66" s="62"/>
      <c r="T66" s="62"/>
      <c r="U66" s="62"/>
      <c r="V66" s="62"/>
      <c r="W66" s="62"/>
      <c r="X66" s="62"/>
      <c r="Y66" s="62"/>
      <c r="Z66" s="62"/>
    </row>
    <row r="67" spans="1:26" ht="12.75" customHeight="1" x14ac:dyDescent="0.3">
      <c r="B67" s="66"/>
      <c r="C67" s="67"/>
      <c r="D67" s="67"/>
      <c r="E67" s="67"/>
      <c r="F67" s="67"/>
      <c r="G67" s="68"/>
      <c r="H67" s="69" t="s">
        <v>3</v>
      </c>
      <c r="I67" s="69" t="s">
        <v>56</v>
      </c>
      <c r="J67" s="69" t="s">
        <v>5</v>
      </c>
      <c r="K67" s="69" t="s">
        <v>6</v>
      </c>
    </row>
    <row r="68" spans="1:26" ht="12" customHeight="1" x14ac:dyDescent="0.3">
      <c r="A68" s="9"/>
      <c r="B68" s="70" t="s">
        <v>57</v>
      </c>
      <c r="C68" s="14"/>
      <c r="D68" s="14"/>
      <c r="E68" s="14"/>
      <c r="F68" s="14"/>
      <c r="G68" s="71">
        <f t="shared" ref="G68:I68" si="34">+G15+G17+G18-G24-G26</f>
        <v>790</v>
      </c>
      <c r="H68" s="71">
        <f t="shared" si="34"/>
        <v>790</v>
      </c>
      <c r="I68" s="72">
        <f t="shared" si="34"/>
        <v>585</v>
      </c>
      <c r="J68" s="71">
        <f t="shared" ref="J68:J72" si="35">+H68-I68</f>
        <v>205</v>
      </c>
      <c r="K68" s="73">
        <f t="shared" ref="K68:K72" si="36">+H68/I68-1</f>
        <v>0.35042735042735051</v>
      </c>
      <c r="M68" s="9"/>
    </row>
    <row r="69" spans="1:26" ht="12" customHeight="1" x14ac:dyDescent="0.3">
      <c r="A69" s="9"/>
      <c r="B69" s="17" t="s">
        <v>58</v>
      </c>
      <c r="C69" s="18"/>
      <c r="D69" s="18"/>
      <c r="E69" s="18"/>
      <c r="F69" s="18"/>
      <c r="G69" s="25" t="e">
        <f>+G68+#REF!</f>
        <v>#REF!</v>
      </c>
      <c r="H69" s="25">
        <f t="shared" ref="H69:I69" si="37">+H15+H17+H18-H24-H26+H20</f>
        <v>1790</v>
      </c>
      <c r="I69" s="26">
        <f t="shared" si="37"/>
        <v>1455</v>
      </c>
      <c r="J69" s="25">
        <f t="shared" si="35"/>
        <v>335</v>
      </c>
      <c r="K69" s="27">
        <f t="shared" si="36"/>
        <v>0.23024054982817876</v>
      </c>
    </row>
    <row r="70" spans="1:26" ht="12" customHeight="1" x14ac:dyDescent="0.3">
      <c r="A70" s="9"/>
      <c r="B70" s="17" t="s">
        <v>59</v>
      </c>
      <c r="C70" s="18"/>
      <c r="D70" s="18"/>
      <c r="E70" s="18"/>
      <c r="F70" s="18"/>
      <c r="G70" s="25"/>
      <c r="H70" s="25">
        <f t="shared" ref="H70:I70" si="38">(H17/(H17+H40))*365</f>
        <v>40.55555555555555</v>
      </c>
      <c r="I70" s="26">
        <f t="shared" si="38"/>
        <v>36.327014218009481</v>
      </c>
      <c r="J70" s="25">
        <f t="shared" si="35"/>
        <v>4.2285413375460692</v>
      </c>
      <c r="K70" s="27">
        <f t="shared" si="36"/>
        <v>0.11640211640211628</v>
      </c>
      <c r="M70" s="74"/>
    </row>
    <row r="71" spans="1:26" ht="12" customHeight="1" x14ac:dyDescent="0.3">
      <c r="A71" s="9"/>
      <c r="B71" s="17" t="s">
        <v>60</v>
      </c>
      <c r="C71" s="18"/>
      <c r="D71" s="18"/>
      <c r="E71" s="18"/>
      <c r="F71" s="18"/>
      <c r="G71" s="25">
        <f t="shared" ref="G71:I71" si="39">+G44</f>
        <v>383.80000000000018</v>
      </c>
      <c r="H71" s="25">
        <f t="shared" si="39"/>
        <v>283.80000000000018</v>
      </c>
      <c r="I71" s="26">
        <f t="shared" si="39"/>
        <v>263</v>
      </c>
      <c r="J71" s="25">
        <f t="shared" si="35"/>
        <v>20.800000000000182</v>
      </c>
      <c r="K71" s="27">
        <f t="shared" si="36"/>
        <v>7.9087452471483521E-2</v>
      </c>
      <c r="M71" s="74"/>
    </row>
    <row r="72" spans="1:26" ht="12" customHeight="1" x14ac:dyDescent="0.3">
      <c r="A72" s="75"/>
      <c r="B72" s="17" t="s">
        <v>83</v>
      </c>
      <c r="C72" s="18"/>
      <c r="D72" s="18"/>
      <c r="E72" s="18"/>
      <c r="F72" s="18"/>
      <c r="G72" s="25">
        <f>+G44*(1-N48)</f>
        <v>230.28000000000009</v>
      </c>
      <c r="H72" s="25">
        <f t="shared" ref="H72:I72" si="40">+H44*(1-L48)</f>
        <v>170.28000000000011</v>
      </c>
      <c r="I72" s="26">
        <f t="shared" si="40"/>
        <v>157.79999999999998</v>
      </c>
      <c r="J72" s="25">
        <f t="shared" si="35"/>
        <v>12.480000000000132</v>
      </c>
      <c r="K72" s="27">
        <f t="shared" si="36"/>
        <v>7.9087452471483743E-2</v>
      </c>
      <c r="M72" s="74"/>
    </row>
    <row r="73" spans="1:26" ht="12" customHeight="1" x14ac:dyDescent="0.3">
      <c r="B73" s="17" t="s">
        <v>62</v>
      </c>
      <c r="C73" s="18"/>
      <c r="D73" s="18"/>
      <c r="E73" s="18"/>
      <c r="F73" s="18"/>
      <c r="G73" s="25"/>
      <c r="H73" s="76">
        <f t="shared" ref="H73:I73" si="41">H45/H29</f>
        <v>8.2706766917293228E-2</v>
      </c>
      <c r="I73" s="27">
        <f t="shared" si="41"/>
        <v>7.4999999999999997E-2</v>
      </c>
      <c r="J73" s="76">
        <f t="shared" ref="J73:K73" si="42">H73-I73</f>
        <v>7.7067669172932313E-3</v>
      </c>
      <c r="K73" s="27">
        <f t="shared" si="42"/>
        <v>6.7293233082706766E-2</v>
      </c>
      <c r="M73" s="74"/>
    </row>
    <row r="74" spans="1:26" ht="12" customHeight="1" x14ac:dyDescent="0.3">
      <c r="B74" s="17" t="s">
        <v>84</v>
      </c>
      <c r="C74" s="18"/>
      <c r="D74" s="18"/>
      <c r="E74" s="18"/>
      <c r="F74" s="18"/>
      <c r="G74" s="25"/>
      <c r="H74" s="76">
        <f t="shared" ref="H74:I74" si="43">(H9-(H73*(1-H8)*(H29/H34)))/(H33/H34)</f>
        <v>0.18660885287618026</v>
      </c>
      <c r="I74" s="27">
        <f t="shared" si="43"/>
        <v>0.17314285714285715</v>
      </c>
      <c r="J74" s="76">
        <f t="shared" ref="J74:K74" si="44">H74-I74</f>
        <v>1.3465995733323105E-2</v>
      </c>
      <c r="K74" s="27">
        <f t="shared" si="44"/>
        <v>0.15967686140953405</v>
      </c>
      <c r="M74" s="74"/>
    </row>
    <row r="75" spans="1:26" ht="12" customHeight="1" x14ac:dyDescent="0.3">
      <c r="B75" s="17" t="s">
        <v>64</v>
      </c>
      <c r="C75" s="18"/>
      <c r="D75" s="18"/>
      <c r="E75" s="18"/>
      <c r="F75" s="18"/>
      <c r="G75" s="25">
        <f t="shared" ref="G75:I75" si="45">+G9*G68</f>
        <v>88.48</v>
      </c>
      <c r="H75" s="25">
        <f t="shared" si="45"/>
        <v>86.9</v>
      </c>
      <c r="I75" s="26">
        <f t="shared" si="45"/>
        <v>63.18</v>
      </c>
      <c r="J75" s="25">
        <f t="shared" ref="J75:J78" si="46">+H75-I75</f>
        <v>23.720000000000006</v>
      </c>
      <c r="K75" s="27">
        <f t="shared" ref="K75:K78" si="47">+H75/I75-1</f>
        <v>0.37543526432415342</v>
      </c>
      <c r="M75" s="74"/>
    </row>
    <row r="76" spans="1:26" ht="12" customHeight="1" x14ac:dyDescent="0.3">
      <c r="B76" s="17" t="s">
        <v>65</v>
      </c>
      <c r="C76" s="18"/>
      <c r="D76" s="18"/>
      <c r="E76" s="18"/>
      <c r="F76" s="18"/>
      <c r="G76" s="25" t="e">
        <f t="shared" ref="G76:I76" si="48">+G9*G69</f>
        <v>#REF!</v>
      </c>
      <c r="H76" s="25">
        <f t="shared" si="48"/>
        <v>196.9</v>
      </c>
      <c r="I76" s="26">
        <f t="shared" si="48"/>
        <v>157.13999999999999</v>
      </c>
      <c r="J76" s="25">
        <f t="shared" si="46"/>
        <v>39.760000000000019</v>
      </c>
      <c r="K76" s="27">
        <f t="shared" si="47"/>
        <v>0.25302278223240426</v>
      </c>
      <c r="M76" s="74"/>
    </row>
    <row r="77" spans="1:26" ht="12" customHeight="1" x14ac:dyDescent="0.3">
      <c r="B77" s="17" t="s">
        <v>85</v>
      </c>
      <c r="C77" s="18"/>
      <c r="D77" s="18"/>
      <c r="E77" s="18"/>
      <c r="F77" s="18"/>
      <c r="G77" s="25" t="e">
        <f t="shared" ref="G77:I77" si="49">+G72-G76</f>
        <v>#REF!</v>
      </c>
      <c r="H77" s="25">
        <f t="shared" si="49"/>
        <v>-26.619999999999891</v>
      </c>
      <c r="I77" s="26">
        <f t="shared" si="49"/>
        <v>0.65999999999999659</v>
      </c>
      <c r="J77" s="25">
        <f t="shared" si="46"/>
        <v>-27.279999999999887</v>
      </c>
      <c r="K77" s="27">
        <f t="shared" si="47"/>
        <v>-41.333333333333378</v>
      </c>
      <c r="M77" s="74"/>
    </row>
    <row r="78" spans="1:26" ht="12" customHeight="1" x14ac:dyDescent="0.3">
      <c r="B78" s="36" t="s">
        <v>86</v>
      </c>
      <c r="C78" s="37"/>
      <c r="D78" s="37"/>
      <c r="E78" s="37"/>
      <c r="F78" s="37"/>
      <c r="G78" s="37" t="e">
        <f t="shared" ref="G78:I78" si="50">(G77)/G69</f>
        <v>#REF!</v>
      </c>
      <c r="H78" s="77">
        <f t="shared" si="50"/>
        <v>-1.4871508379888208E-2</v>
      </c>
      <c r="I78" s="78">
        <f t="shared" si="50"/>
        <v>4.5360824742267809E-4</v>
      </c>
      <c r="J78" s="79">
        <f t="shared" si="46"/>
        <v>-1.5325116627310885E-2</v>
      </c>
      <c r="K78" s="80">
        <f t="shared" si="47"/>
        <v>-33.784916201117355</v>
      </c>
      <c r="M78" s="74"/>
    </row>
    <row r="79" spans="1:26" ht="12.75" customHeight="1" x14ac:dyDescent="0.3">
      <c r="B79" s="3"/>
    </row>
    <row r="80" spans="1:26" ht="12.75" customHeight="1" x14ac:dyDescent="0.3">
      <c r="B80" s="81" t="s">
        <v>68</v>
      </c>
      <c r="C80" s="82"/>
      <c r="D80" s="82"/>
      <c r="E80" s="82"/>
      <c r="F80" s="82"/>
      <c r="G80" s="82"/>
      <c r="H80" s="82"/>
      <c r="I80" s="82"/>
    </row>
    <row r="81" spans="2:16" ht="12.75" customHeight="1" x14ac:dyDescent="0.3">
      <c r="B81" s="81" t="s">
        <v>87</v>
      </c>
      <c r="C81" s="82"/>
      <c r="D81" s="82"/>
      <c r="E81" s="82"/>
      <c r="F81" s="82"/>
      <c r="G81" s="82"/>
      <c r="H81" s="82"/>
      <c r="I81" s="82"/>
    </row>
    <row r="82" spans="2:16" ht="12.75" customHeight="1" x14ac:dyDescent="0.3">
      <c r="B82" s="3" t="s">
        <v>70</v>
      </c>
    </row>
    <row r="83" spans="2:16" ht="12.75" customHeight="1" x14ac:dyDescent="0.3">
      <c r="B83" s="66"/>
      <c r="C83" s="67"/>
      <c r="D83" s="67"/>
      <c r="E83" s="67"/>
      <c r="F83" s="67"/>
      <c r="G83" s="68"/>
      <c r="H83" s="69" t="s">
        <v>3</v>
      </c>
      <c r="I83" s="69" t="s">
        <v>56</v>
      </c>
      <c r="J83" s="69" t="s">
        <v>5</v>
      </c>
      <c r="K83" s="69" t="s">
        <v>6</v>
      </c>
    </row>
    <row r="84" spans="2:16" ht="12.75" customHeight="1" x14ac:dyDescent="0.3">
      <c r="B84" s="70" t="s">
        <v>88</v>
      </c>
      <c r="C84" s="14"/>
      <c r="D84" s="14"/>
      <c r="E84" s="14"/>
      <c r="F84" s="14"/>
      <c r="G84" s="71">
        <f t="shared" ref="G84:I84" si="51">G50/(G31+G32)</f>
        <v>0.17142970077868697</v>
      </c>
      <c r="H84" s="83">
        <f t="shared" si="51"/>
        <v>0.12665461282617926</v>
      </c>
      <c r="I84" s="73">
        <f t="shared" si="51"/>
        <v>0.14023809523809525</v>
      </c>
      <c r="J84" s="83">
        <f t="shared" ref="J84:J90" si="52">+H84-I84</f>
        <v>-1.3583482411915981E-2</v>
      </c>
      <c r="K84" s="73">
        <f t="shared" ref="K84:K90" si="53">H84/I84-1</f>
        <v>-9.6860146230979827E-2</v>
      </c>
    </row>
    <row r="85" spans="2:16" ht="12.75" customHeight="1" x14ac:dyDescent="0.3">
      <c r="B85" s="17" t="s">
        <v>89</v>
      </c>
      <c r="C85" s="18"/>
      <c r="D85" s="18"/>
      <c r="E85" s="18"/>
      <c r="F85" s="18"/>
      <c r="G85" s="25">
        <f t="shared" ref="G85:I85" si="54">+G29/G21</f>
        <v>0.53467336683417088</v>
      </c>
      <c r="H85" s="76">
        <f t="shared" si="54"/>
        <v>0.53467336683417088</v>
      </c>
      <c r="I85" s="27">
        <f t="shared" si="54"/>
        <v>0.47619047619047616</v>
      </c>
      <c r="J85" s="76">
        <f t="shared" si="52"/>
        <v>5.8482890643694718E-2</v>
      </c>
      <c r="K85" s="27">
        <f t="shared" si="53"/>
        <v>0.12281407035175884</v>
      </c>
    </row>
    <row r="86" spans="2:16" ht="12.75" customHeight="1" x14ac:dyDescent="0.3">
      <c r="B86" s="17" t="s">
        <v>90</v>
      </c>
      <c r="C86" s="18"/>
      <c r="D86" s="18"/>
      <c r="E86" s="18"/>
      <c r="F86" s="18"/>
      <c r="G86" s="25">
        <f t="shared" ref="G86:I86" si="55">G19/G27</f>
        <v>3.193548387096774</v>
      </c>
      <c r="H86" s="76">
        <f t="shared" si="55"/>
        <v>3.193548387096774</v>
      </c>
      <c r="I86" s="27">
        <f t="shared" si="55"/>
        <v>3.6818181818181817</v>
      </c>
      <c r="J86" s="76">
        <f t="shared" si="52"/>
        <v>-0.48826979472140764</v>
      </c>
      <c r="K86" s="27">
        <f t="shared" si="53"/>
        <v>-0.13261648745519716</v>
      </c>
    </row>
    <row r="87" spans="2:16" ht="12.75" customHeight="1" x14ac:dyDescent="0.3">
      <c r="B87" s="17" t="s">
        <v>91</v>
      </c>
      <c r="C87" s="18"/>
      <c r="D87" s="18"/>
      <c r="E87" s="18"/>
      <c r="F87" s="18"/>
      <c r="G87" s="25" t="e">
        <f>+#REF!/#REF!</f>
        <v>#REF!</v>
      </c>
      <c r="H87" s="76">
        <f>H19/H28</f>
        <v>1.312997347480106</v>
      </c>
      <c r="I87" s="27">
        <f>(I24+I25+I26)/I28</f>
        <v>0.37931034482758619</v>
      </c>
      <c r="J87" s="76">
        <f t="shared" si="52"/>
        <v>0.9336870026525198</v>
      </c>
      <c r="K87" s="27">
        <f t="shared" si="53"/>
        <v>2.4615384615384612</v>
      </c>
    </row>
    <row r="88" spans="2:16" ht="12.75" customHeight="1" x14ac:dyDescent="0.3">
      <c r="B88" s="17" t="s">
        <v>92</v>
      </c>
      <c r="C88" s="18"/>
      <c r="D88" s="18"/>
      <c r="E88" s="18"/>
      <c r="F88" s="18"/>
      <c r="G88" s="25" t="e">
        <f>+#REF!/G33</f>
        <v>#REF!</v>
      </c>
      <c r="H88" s="76">
        <f t="shared" ref="H88:I88" si="56">(H24+H25+H26)/H28</f>
        <v>0.41114058355437666</v>
      </c>
      <c r="I88" s="27">
        <f t="shared" si="56"/>
        <v>0.37931034482758619</v>
      </c>
      <c r="J88" s="76">
        <f t="shared" si="52"/>
        <v>3.1830238726790472E-2</v>
      </c>
      <c r="K88" s="27">
        <f t="shared" si="53"/>
        <v>8.3916083916083961E-2</v>
      </c>
    </row>
    <row r="89" spans="2:16" ht="12.75" customHeight="1" x14ac:dyDescent="0.3">
      <c r="B89" s="17" t="s">
        <v>76</v>
      </c>
      <c r="C89" s="18"/>
      <c r="D89" s="18"/>
      <c r="E89" s="18"/>
      <c r="F89" s="18"/>
      <c r="G89" s="25">
        <f t="shared" ref="G89:I89" si="57">+G50/G33</f>
        <v>0.17142970077868697</v>
      </c>
      <c r="H89" s="76">
        <f t="shared" si="57"/>
        <v>0.12665461282617926</v>
      </c>
      <c r="I89" s="27">
        <f t="shared" si="57"/>
        <v>0.14023809523809525</v>
      </c>
      <c r="J89" s="76">
        <f t="shared" si="52"/>
        <v>-1.3583482411915981E-2</v>
      </c>
      <c r="K89" s="27">
        <f t="shared" si="53"/>
        <v>-9.6860146230979827E-2</v>
      </c>
    </row>
    <row r="90" spans="2:16" ht="12.75" customHeight="1" x14ac:dyDescent="0.3">
      <c r="B90" s="17" t="s">
        <v>93</v>
      </c>
      <c r="C90" s="18"/>
      <c r="D90" s="18"/>
      <c r="E90" s="18"/>
      <c r="F90" s="18"/>
      <c r="G90" s="25">
        <f t="shared" ref="G90:I90" si="58">+G46/G45</f>
        <v>3.3613636363636386</v>
      </c>
      <c r="H90" s="76">
        <f t="shared" si="58"/>
        <v>2.2250000000000019</v>
      </c>
      <c r="I90" s="27">
        <f t="shared" si="58"/>
        <v>3.3833333333333333</v>
      </c>
      <c r="J90" s="76">
        <f t="shared" si="52"/>
        <v>-1.1583333333333314</v>
      </c>
      <c r="K90" s="27">
        <f t="shared" si="53"/>
        <v>-0.34236453201970385</v>
      </c>
    </row>
    <row r="91" spans="2:16" ht="12.75" customHeight="1" x14ac:dyDescent="0.3">
      <c r="B91" s="17" t="s">
        <v>78</v>
      </c>
      <c r="C91" s="18"/>
      <c r="D91" s="18"/>
      <c r="E91" s="18"/>
      <c r="F91" s="18"/>
      <c r="G91" s="25"/>
      <c r="H91" s="76"/>
      <c r="I91" s="27"/>
      <c r="J91" s="76"/>
      <c r="K91" s="27"/>
      <c r="N91" s="32" t="s">
        <v>94</v>
      </c>
      <c r="P91" s="32" t="s">
        <v>95</v>
      </c>
    </row>
    <row r="92" spans="2:16" ht="12.75" customHeight="1" x14ac:dyDescent="0.3">
      <c r="B92" s="17" t="s">
        <v>79</v>
      </c>
      <c r="C92" s="18"/>
      <c r="D92" s="18"/>
      <c r="E92" s="18"/>
      <c r="F92" s="18"/>
      <c r="G92" s="25">
        <f t="shared" ref="G92:I92" si="59">+G48/G40</f>
        <v>5.7251612903225842E-2</v>
      </c>
      <c r="H92" s="76">
        <f t="shared" si="59"/>
        <v>3.9160000000000035E-2</v>
      </c>
      <c r="I92" s="27">
        <f t="shared" si="59"/>
        <v>4.2736842105263156E-2</v>
      </c>
      <c r="J92" s="76">
        <f>+H92-I92</f>
        <v>-3.5768421052631214E-3</v>
      </c>
      <c r="K92" s="27">
        <f t="shared" ref="K92:K94" si="60">H92/I92-1</f>
        <v>-8.3694581280787328E-2</v>
      </c>
      <c r="N92" s="42">
        <f t="shared" ref="N92:N94" si="61">G92-H92</f>
        <v>1.8091612903225807E-2</v>
      </c>
      <c r="P92" s="42">
        <f t="shared" ref="P92:P94" si="62">G92-I92</f>
        <v>1.4514770797962685E-2</v>
      </c>
    </row>
    <row r="93" spans="2:16" ht="12.75" customHeight="1" x14ac:dyDescent="0.3">
      <c r="B93" s="17" t="s">
        <v>80</v>
      </c>
      <c r="C93" s="18"/>
      <c r="D93" s="18"/>
      <c r="E93" s="18"/>
      <c r="F93" s="18"/>
      <c r="G93" s="25">
        <f t="shared" ref="G93:I93" si="63">+G40/G21</f>
        <v>1.5577889447236182</v>
      </c>
      <c r="H93" s="76">
        <f t="shared" si="63"/>
        <v>1.5075376884422111</v>
      </c>
      <c r="I93" s="27">
        <f t="shared" si="63"/>
        <v>1.6964285714285714</v>
      </c>
      <c r="J93" s="76">
        <f t="shared" ref="J93:J94" si="64">H93-I93</f>
        <v>-0.18889088298636025</v>
      </c>
      <c r="K93" s="27">
        <f t="shared" si="60"/>
        <v>-0.11134620470774925</v>
      </c>
      <c r="N93" s="42">
        <f t="shared" si="61"/>
        <v>5.0251256281407031E-2</v>
      </c>
      <c r="P93" s="42">
        <f t="shared" si="62"/>
        <v>-0.13863962670495322</v>
      </c>
    </row>
    <row r="94" spans="2:16" ht="12.75" customHeight="1" x14ac:dyDescent="0.3">
      <c r="B94" s="36" t="s">
        <v>81</v>
      </c>
      <c r="C94" s="37"/>
      <c r="D94" s="37"/>
      <c r="E94" s="37"/>
      <c r="F94" s="37"/>
      <c r="G94" s="37">
        <f t="shared" ref="G94:I94" si="65">+G21/G33</f>
        <v>1.9664808885726703</v>
      </c>
      <c r="H94" s="84">
        <f t="shared" si="65"/>
        <v>2.2210317194580234</v>
      </c>
      <c r="I94" s="80">
        <f t="shared" si="65"/>
        <v>2</v>
      </c>
      <c r="J94" s="84">
        <f t="shared" si="64"/>
        <v>0.22103171945802336</v>
      </c>
      <c r="K94" s="80">
        <f t="shared" si="60"/>
        <v>0.11051585972901168</v>
      </c>
      <c r="N94" s="42">
        <f t="shared" si="61"/>
        <v>-0.25455083088535302</v>
      </c>
      <c r="P94" s="42">
        <f t="shared" si="62"/>
        <v>-3.3519111427329662E-2</v>
      </c>
    </row>
    <row r="95" spans="2:16" ht="12.75" customHeight="1" x14ac:dyDescent="0.25"/>
    <row r="96" spans="2:16" ht="12.75" customHeight="1" x14ac:dyDescent="0.25"/>
    <row r="97" spans="1:3" ht="12.75" customHeight="1" x14ac:dyDescent="0.25"/>
    <row r="98" spans="1:3" ht="12.75" customHeight="1" x14ac:dyDescent="0.25"/>
    <row r="99" spans="1:3" ht="12.75" customHeight="1" x14ac:dyDescent="0.25"/>
    <row r="100" spans="1:3" ht="12.75" customHeight="1" x14ac:dyDescent="0.25"/>
    <row r="101" spans="1:3" ht="12.75" customHeight="1" x14ac:dyDescent="0.25"/>
    <row r="102" spans="1:3" ht="12.75" customHeight="1" x14ac:dyDescent="0.25"/>
    <row r="103" spans="1:3" ht="12.75" customHeight="1" x14ac:dyDescent="0.25"/>
    <row r="104" spans="1:3" ht="12.75" customHeight="1" x14ac:dyDescent="0.25"/>
    <row r="105" spans="1:3" ht="12.75" customHeight="1" x14ac:dyDescent="0.25"/>
    <row r="106" spans="1:3" ht="12.75" customHeight="1" x14ac:dyDescent="0.25"/>
    <row r="107" spans="1:3" ht="12.75" customHeight="1" x14ac:dyDescent="0.25"/>
    <row r="108" spans="1:3" ht="12.75" customHeight="1" x14ac:dyDescent="0.25"/>
    <row r="109" spans="1:3" ht="12.75" customHeight="1" x14ac:dyDescent="0.25">
      <c r="A109" s="87" t="s">
        <v>96</v>
      </c>
      <c r="B109" s="87"/>
      <c r="C109" s="87"/>
    </row>
    <row r="110" spans="1:3" ht="12.75" customHeight="1" x14ac:dyDescent="0.25">
      <c r="A110" s="87" t="s">
        <v>97</v>
      </c>
      <c r="B110" s="87"/>
      <c r="C110" s="87"/>
    </row>
    <row r="111" spans="1:3" ht="12.75" customHeight="1" x14ac:dyDescent="0.25">
      <c r="A111" s="32"/>
    </row>
    <row r="112" spans="1:3" ht="12.75" customHeight="1" x14ac:dyDescent="0.25">
      <c r="A112" s="85" t="s">
        <v>98</v>
      </c>
    </row>
    <row r="113" spans="1:1" ht="12.75" customHeight="1" x14ac:dyDescent="0.25">
      <c r="A113" s="85" t="s">
        <v>99</v>
      </c>
    </row>
    <row r="114" spans="1:1" ht="12.75" customHeight="1" x14ac:dyDescent="0.25">
      <c r="A114" s="85" t="s">
        <v>100</v>
      </c>
    </row>
    <row r="115" spans="1:1" ht="12.75" customHeight="1" x14ac:dyDescent="0.25">
      <c r="A115" s="85" t="s">
        <v>101</v>
      </c>
    </row>
    <row r="116" spans="1:1" ht="12.75" customHeight="1" x14ac:dyDescent="0.25">
      <c r="A116" s="85" t="s">
        <v>102</v>
      </c>
    </row>
    <row r="117" spans="1:1" ht="12.75" customHeight="1" x14ac:dyDescent="0.25"/>
    <row r="118" spans="1:1" ht="12.75" customHeight="1" x14ac:dyDescent="0.25">
      <c r="A118" s="86" t="s">
        <v>103</v>
      </c>
    </row>
    <row r="119" spans="1:1" ht="12.75" customHeight="1" x14ac:dyDescent="0.25">
      <c r="A119" s="85" t="s">
        <v>104</v>
      </c>
    </row>
    <row r="120" spans="1:1" ht="12.75" customHeight="1" x14ac:dyDescent="0.25">
      <c r="A120" s="85" t="s">
        <v>105</v>
      </c>
    </row>
    <row r="121" spans="1:1" ht="12.75" customHeight="1" x14ac:dyDescent="0.25">
      <c r="A121" s="85" t="s">
        <v>106</v>
      </c>
    </row>
    <row r="122" spans="1:1" ht="12.75" customHeight="1" x14ac:dyDescent="0.25">
      <c r="A122" s="85" t="s">
        <v>107</v>
      </c>
    </row>
    <row r="123" spans="1:1" ht="12.75" customHeight="1" x14ac:dyDescent="0.25">
      <c r="A123" s="85"/>
    </row>
    <row r="124" spans="1:1" ht="12.75" customHeight="1" x14ac:dyDescent="0.25"/>
    <row r="125" spans="1:1" ht="12.75" customHeight="1" x14ac:dyDescent="0.25"/>
    <row r="126" spans="1:1" ht="12.75" customHeight="1" x14ac:dyDescent="0.25"/>
    <row r="127" spans="1:1" ht="12.75" customHeight="1" x14ac:dyDescent="0.25"/>
    <row r="128" spans="1:1"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mergeCells count="2">
    <mergeCell ref="B2:I3"/>
    <mergeCell ref="B63:I63"/>
  </mergeCells>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1000"/>
  <sheetViews>
    <sheetView workbookViewId="0"/>
  </sheetViews>
  <sheetFormatPr baseColWidth="10" defaultColWidth="12.6328125" defaultRowHeight="15" customHeight="1" x14ac:dyDescent="0.25"/>
  <cols>
    <col min="1" max="1" width="65.6328125" customWidth="1"/>
    <col min="2" max="26" width="10.6328125" customWidth="1"/>
  </cols>
  <sheetData>
    <row r="1" spans="1:3" ht="12.75" customHeight="1" x14ac:dyDescent="0.25">
      <c r="A1" s="88" t="s">
        <v>108</v>
      </c>
      <c r="B1" s="88" t="s">
        <v>3</v>
      </c>
      <c r="C1" s="88" t="s">
        <v>2</v>
      </c>
    </row>
    <row r="2" spans="1:3" ht="12.75" customHeight="1" x14ac:dyDescent="0.25">
      <c r="A2" s="88" t="str">
        <f>+ENTREGABLE1!B6</f>
        <v>PRECIO DE LA ACCION A FIN DE AÑO</v>
      </c>
      <c r="B2" s="89">
        <f>+ENTREGABLE1!I6</f>
        <v>26</v>
      </c>
      <c r="C2" s="89">
        <f>+ENTREGABLE1!H6</f>
        <v>23</v>
      </c>
    </row>
    <row r="3" spans="1:3" ht="12.75" customHeight="1" x14ac:dyDescent="0.25">
      <c r="A3" s="88" t="str">
        <f>+ENTREGABLE1!B7</f>
        <v>MILLONES DE ACCIONES A FIN DE AÑO</v>
      </c>
      <c r="B3" s="90">
        <f>+ENTREGABLE1!I7</f>
        <v>50</v>
      </c>
      <c r="C3" s="90">
        <f>+ENTREGABLE1!H7</f>
        <v>50</v>
      </c>
    </row>
    <row r="4" spans="1:3" ht="12.75" customHeight="1" x14ac:dyDescent="0.25">
      <c r="A4" s="88" t="str">
        <f>+ENTREGABLE1!B8</f>
        <v>TASA DE IMPUESTO A LAS GANACIAS</v>
      </c>
      <c r="B4" s="91">
        <f>+ENTREGABLE1!I8</f>
        <v>0.4</v>
      </c>
      <c r="C4" s="91">
        <f>+ENTREGABLE1!H8</f>
        <v>0.4</v>
      </c>
    </row>
    <row r="5" spans="1:3" ht="12.75" customHeight="1" x14ac:dyDescent="0.25">
      <c r="A5" s="88" t="str">
        <f>+ENTREGABLE1!B9</f>
        <v>COSTO PROMEDIO PONDERADO DEL CAPITAL</v>
      </c>
      <c r="B5" s="92">
        <f>+ENTREGABLE1!I9</f>
        <v>0.108</v>
      </c>
      <c r="C5" s="92">
        <f>+ENTREGABLE1!H9</f>
        <v>0.11</v>
      </c>
    </row>
    <row r="6" spans="1:3" ht="12.75" customHeight="1" x14ac:dyDescent="0.25">
      <c r="A6" s="88" t="str">
        <f>+ENTREGABLE1!B15</f>
        <v>CAJA</v>
      </c>
      <c r="B6" s="93">
        <f>+ENTREGABLE1!I15</f>
        <v>15</v>
      </c>
      <c r="C6" s="93">
        <f>+ENTREGABLE1!H15</f>
        <v>0</v>
      </c>
    </row>
    <row r="7" spans="1:3" ht="12.75" customHeight="1" x14ac:dyDescent="0.25">
      <c r="A7" s="88" t="str">
        <f>+ENTREGABLE1!B16</f>
        <v>INVERSIONES DE CORTO PLAZO</v>
      </c>
      <c r="B7" s="93">
        <f>+ENTREGABLE1!I16</f>
        <v>65</v>
      </c>
      <c r="C7" s="93">
        <f>+ENTREGABLE1!H16</f>
        <v>0</v>
      </c>
    </row>
    <row r="8" spans="1:3" ht="12.75" customHeight="1" x14ac:dyDescent="0.25">
      <c r="A8" s="88" t="str">
        <f>+ENTREGABLE1!B17</f>
        <v>CREDITOS (CUENTAS A COBRAR)</v>
      </c>
      <c r="B8" s="93">
        <f>+ENTREGABLE1!I17</f>
        <v>315</v>
      </c>
      <c r="C8" s="93">
        <f>+ENTREGABLE1!H17</f>
        <v>375</v>
      </c>
    </row>
    <row r="9" spans="1:3" ht="12.75" customHeight="1" x14ac:dyDescent="0.25">
      <c r="A9" s="88" t="str">
        <f>+ENTREGABLE1!B18</f>
        <v>INVENTARIOS (BIENES DE CAMBIO)</v>
      </c>
      <c r="B9" s="93">
        <f>+ENTREGABLE1!I18</f>
        <v>415</v>
      </c>
      <c r="C9" s="93">
        <f>+ENTREGABLE1!H18</f>
        <v>615</v>
      </c>
    </row>
    <row r="10" spans="1:3" ht="12.75" customHeight="1" x14ac:dyDescent="0.25">
      <c r="A10" s="88" t="str">
        <f>+ENTREGABLE1!B19</f>
        <v>TOTAL DE ACTIVOS CORRIENTES</v>
      </c>
      <c r="B10" s="93">
        <f>+ENTREGABLE1!I19</f>
        <v>810</v>
      </c>
      <c r="C10" s="93">
        <f>+ENTREGABLE1!H19</f>
        <v>990</v>
      </c>
    </row>
    <row r="11" spans="1:3" ht="12.75" customHeight="1" x14ac:dyDescent="0.25">
      <c r="A11" s="88" t="str">
        <f>+ENTREGABLE1!B20</f>
        <v>BIENES DE USO NETOS DE AMORTIZACIONES ACUMULADAS</v>
      </c>
      <c r="B11" s="93">
        <f>+ENTREGABLE1!I20</f>
        <v>870</v>
      </c>
      <c r="C11" s="93">
        <f>+ENTREGABLE1!H20</f>
        <v>1000</v>
      </c>
    </row>
    <row r="12" spans="1:3" ht="12.75" customHeight="1" x14ac:dyDescent="0.25">
      <c r="A12" s="88" t="str">
        <f>+ENTREGABLE1!B21</f>
        <v>TOTAL DE  ACTIVOS</v>
      </c>
      <c r="B12" s="93">
        <f>+ENTREGABLE1!I21</f>
        <v>1680</v>
      </c>
      <c r="C12" s="93">
        <f>+ENTREGABLE1!H21</f>
        <v>1990</v>
      </c>
    </row>
    <row r="13" spans="1:3" ht="12.75" customHeight="1" x14ac:dyDescent="0.25">
      <c r="A13" s="88" t="str">
        <f>+ENTREGABLE1!B24</f>
        <v>DEUDAS COMERCIALES (CUENTAS A PAGAR)</v>
      </c>
      <c r="B13" s="93">
        <f>+ENTREGABLE1!I24</f>
        <v>30</v>
      </c>
      <c r="C13" s="93">
        <f>+ENTREGABLE1!H24</f>
        <v>60</v>
      </c>
    </row>
    <row r="14" spans="1:3" ht="12.75" customHeight="1" x14ac:dyDescent="0.25">
      <c r="A14" s="88" t="str">
        <f>+ENTREGABLE1!B25</f>
        <v>DEUDAS FINANCIERAS DE CORTO PLAZO</v>
      </c>
      <c r="B14" s="93">
        <f>+ENTREGABLE1!I25</f>
        <v>60</v>
      </c>
      <c r="C14" s="93">
        <f>+ENTREGABLE1!H25</f>
        <v>110</v>
      </c>
    </row>
    <row r="15" spans="1:3" ht="12.75" customHeight="1" x14ac:dyDescent="0.25">
      <c r="A15" s="88" t="str">
        <f>+ENTREGABLE1!B26</f>
        <v>PROVISIONES (ACUMULACIONES)</v>
      </c>
      <c r="B15" s="93">
        <f>+ENTREGABLE1!I26</f>
        <v>130</v>
      </c>
      <c r="C15" s="93">
        <f>+ENTREGABLE1!H26</f>
        <v>140</v>
      </c>
    </row>
    <row r="16" spans="1:3" ht="12.75" customHeight="1" x14ac:dyDescent="0.25">
      <c r="A16" s="88" t="str">
        <f>+ENTREGABLE1!B27</f>
        <v>TOTAL DE PASIVOS CORRIENTES</v>
      </c>
      <c r="B16" s="93">
        <f>+ENTREGABLE1!I27</f>
        <v>220</v>
      </c>
      <c r="C16" s="93">
        <f>+ENTREGABLE1!H27</f>
        <v>310</v>
      </c>
    </row>
    <row r="17" spans="1:3" ht="12.75" customHeight="1" x14ac:dyDescent="0.25">
      <c r="A17" s="88" t="str">
        <f>+ENTREGABLE1!B28</f>
        <v>PASIVOS DE LARGO PLAZO (BONOS)</v>
      </c>
      <c r="B17" s="93">
        <f>+ENTREGABLE1!I28</f>
        <v>580</v>
      </c>
      <c r="C17" s="93">
        <f>+ENTREGABLE1!H28</f>
        <v>754</v>
      </c>
    </row>
    <row r="18" spans="1:3" ht="12.75" customHeight="1" x14ac:dyDescent="0.25">
      <c r="A18" s="88" t="str">
        <f>+ENTREGABLE1!B29</f>
        <v>TOTAL DE PASIVOS</v>
      </c>
      <c r="B18" s="93">
        <f>+ENTREGABLE1!I29</f>
        <v>800</v>
      </c>
      <c r="C18" s="93">
        <f>+ENTREGABLE1!H29</f>
        <v>1064</v>
      </c>
    </row>
    <row r="19" spans="1:3" ht="12.75" customHeight="1" x14ac:dyDescent="0.25">
      <c r="A19" s="88" t="str">
        <f>+ENTREGABLE1!B30</f>
        <v>CAPITAL EN ACCIONES PREFERIDAS (400,000 ACCIONES)</v>
      </c>
      <c r="B19" s="93">
        <f>+ENTREGABLE1!I30</f>
        <v>40</v>
      </c>
      <c r="C19" s="93">
        <f>+ENTREGABLE1!H30</f>
        <v>40</v>
      </c>
    </row>
    <row r="20" spans="1:3" ht="12.75" customHeight="1" x14ac:dyDescent="0.25">
      <c r="A20" s="88" t="str">
        <f>+ENTREGABLE1!B31</f>
        <v>CAPITAL EN ACCIONES COMUNES (50,000,000 ACCIONES)</v>
      </c>
      <c r="B20" s="93">
        <f>+ENTREGABLE1!I31</f>
        <v>130</v>
      </c>
      <c r="C20" s="93">
        <f>+ENTREGABLE1!H31</f>
        <v>130</v>
      </c>
    </row>
    <row r="21" spans="1:3" ht="12.75" customHeight="1" x14ac:dyDescent="0.25">
      <c r="A21" s="88" t="str">
        <f>+ENTREGABLE1!B32</f>
        <v>UTILIDADES ACUMULADAS (RESULTADOS NO ASIGNADOS)</v>
      </c>
      <c r="B21" s="93">
        <f>+ENTREGABLE1!I32</f>
        <v>710</v>
      </c>
      <c r="C21" s="93">
        <f>+ENTREGABLE1!H32</f>
        <v>765.98000000000013</v>
      </c>
    </row>
    <row r="22" spans="1:3" ht="12.75" customHeight="1" x14ac:dyDescent="0.25">
      <c r="A22" s="88" t="str">
        <f>+ENTREGABLE1!B33</f>
        <v>PATRIMONIO NETO TOTAL</v>
      </c>
      <c r="B22" s="93">
        <f>+ENTREGABLE1!I33</f>
        <v>840</v>
      </c>
      <c r="C22" s="93">
        <f>+ENTREGABLE1!H33</f>
        <v>895.98000000000013</v>
      </c>
    </row>
    <row r="23" spans="1:3" ht="12.75" customHeight="1" x14ac:dyDescent="0.25">
      <c r="A23" s="88" t="str">
        <f>+ENTREGABLE1!B34</f>
        <v>PASIVOS + PATRIMONIO NETO</v>
      </c>
      <c r="B23" s="93">
        <f>+ENTREGABLE1!I34</f>
        <v>1680</v>
      </c>
      <c r="C23" s="93">
        <f>+ENTREGABLE1!H34</f>
        <v>1999.98</v>
      </c>
    </row>
    <row r="24" spans="1:3" ht="12.75" customHeight="1" x14ac:dyDescent="0.25">
      <c r="A24" s="88" t="str">
        <f>+ENTREGABLE1!B40</f>
        <v>VENTAS</v>
      </c>
      <c r="B24" s="94">
        <f>+ENTREGABLE1!I40</f>
        <v>2850</v>
      </c>
      <c r="C24" s="94">
        <f>+ENTREGABLE1!H40</f>
        <v>3000</v>
      </c>
    </row>
    <row r="25" spans="1:3" ht="12.75" customHeight="1" x14ac:dyDescent="0.25">
      <c r="A25" s="88" t="str">
        <f>+ENTREGABLE1!B41</f>
        <v>COSTOS OPERATIVOS EXCLUYENDO AMORTIZACIONES</v>
      </c>
      <c r="B25" s="94">
        <f>+ENTREGABLE1!I41</f>
        <v>2497</v>
      </c>
      <c r="C25" s="94">
        <f>+ENTREGABLE1!H41</f>
        <v>2616.1999999999998</v>
      </c>
    </row>
    <row r="26" spans="1:3" ht="12.75" customHeight="1" x14ac:dyDescent="0.25">
      <c r="A26" s="88" t="str">
        <f>+ENTREGABLE1!B42</f>
        <v>SUBTOTAL EBITDA</v>
      </c>
      <c r="B26" s="94">
        <f>+ENTREGABLE1!I42</f>
        <v>353</v>
      </c>
      <c r="C26" s="94">
        <f>+ENTREGABLE1!H42</f>
        <v>383.80000000000018</v>
      </c>
    </row>
    <row r="27" spans="1:3" ht="12.75" customHeight="1" x14ac:dyDescent="0.25">
      <c r="A27" s="88" t="str">
        <f>+ENTREGABLE1!B43</f>
        <v>AMORTIZACIONES</v>
      </c>
      <c r="B27" s="94">
        <f>+ENTREGABLE1!I43</f>
        <v>90</v>
      </c>
      <c r="C27" s="94">
        <f>+ENTREGABLE1!H43</f>
        <v>100</v>
      </c>
    </row>
    <row r="28" spans="1:3" ht="12.75" customHeight="1" x14ac:dyDescent="0.25">
      <c r="A28" s="88" t="str">
        <f>+ENTREGABLE1!B44</f>
        <v>SUBTOTAL EBIT</v>
      </c>
      <c r="B28" s="94">
        <f>+ENTREGABLE1!I44</f>
        <v>263</v>
      </c>
      <c r="C28" s="94">
        <f>+ENTREGABLE1!H44</f>
        <v>283.80000000000018</v>
      </c>
    </row>
    <row r="29" spans="1:3" ht="12.75" customHeight="1" x14ac:dyDescent="0.25">
      <c r="A29" s="88" t="str">
        <f>+ENTREGABLE1!B45</f>
        <v>INTERESES PAGADOS</v>
      </c>
      <c r="B29" s="94">
        <f>+ENTREGABLE1!I45</f>
        <v>60</v>
      </c>
      <c r="C29" s="94">
        <f>+ENTREGABLE1!H45</f>
        <v>88</v>
      </c>
    </row>
    <row r="30" spans="1:3" ht="12.75" customHeight="1" x14ac:dyDescent="0.25">
      <c r="A30" s="88" t="str">
        <f>+ENTREGABLE1!B46</f>
        <v>SUBTOTAL EBT</v>
      </c>
      <c r="B30" s="94">
        <f>+ENTREGABLE1!I46</f>
        <v>203</v>
      </c>
      <c r="C30" s="94">
        <f>+ENTREGABLE1!H46</f>
        <v>195.80000000000018</v>
      </c>
    </row>
    <row r="31" spans="1:3" ht="12.75" customHeight="1" x14ac:dyDescent="0.25">
      <c r="A31" s="88" t="str">
        <f>+ENTREGABLE1!B47</f>
        <v>IMPUESTO A LAS GANANCIAS</v>
      </c>
      <c r="B31" s="94">
        <f>+ENTREGABLE1!I47</f>
        <v>81.2</v>
      </c>
      <c r="C31" s="94">
        <f>+ENTREGABLE1!H47</f>
        <v>78.320000000000078</v>
      </c>
    </row>
    <row r="32" spans="1:3" ht="12.75" customHeight="1" x14ac:dyDescent="0.25">
      <c r="A32" s="88" t="str">
        <f>+ENTREGABLE1!B48</f>
        <v>UTILIDADES ANTES DE RESTAR DIVIDENDOS DE ACCIONES PREFERIDAS</v>
      </c>
      <c r="B32" s="94">
        <f>+ENTREGABLE1!I48</f>
        <v>121.8</v>
      </c>
      <c r="C32" s="94">
        <f>+ENTREGABLE1!H48</f>
        <v>117.4800000000001</v>
      </c>
    </row>
    <row r="33" spans="1:3" ht="12.75" customHeight="1" x14ac:dyDescent="0.25">
      <c r="A33" s="88" t="str">
        <f>+ENTREGABLE1!B49</f>
        <v>DIVIDENDOS DE ACCIONES PREFERIDAS</v>
      </c>
      <c r="B33" s="94">
        <f>+ENTREGABLE1!I49</f>
        <v>4</v>
      </c>
      <c r="C33" s="94">
        <f>+ENTREGABLE1!H49</f>
        <v>4</v>
      </c>
    </row>
    <row r="34" spans="1:3" ht="12.75" customHeight="1" x14ac:dyDescent="0.25">
      <c r="A34" s="88" t="str">
        <f>+ENTREGABLE1!B50</f>
        <v>UTILIDADES DISPONIBLES PARA LOS ACCIONISTAS COMUNES</v>
      </c>
      <c r="B34" s="94">
        <f>+ENTREGABLE1!I50</f>
        <v>117.8</v>
      </c>
      <c r="C34" s="94">
        <f>+ENTREGABLE1!H50</f>
        <v>113.4800000000001</v>
      </c>
    </row>
    <row r="35" spans="1:3" ht="12.75" customHeight="1" x14ac:dyDescent="0.25">
      <c r="A35" s="88" t="str">
        <f>+ENTREGABLE1!B52</f>
        <v>DIVIDENDOS DE ACCIONES COMUNES</v>
      </c>
      <c r="B35" s="94">
        <f>+ENTREGABLE1!I52</f>
        <v>53</v>
      </c>
      <c r="C35" s="94">
        <f>+ENTREGABLE1!H52</f>
        <v>57.5</v>
      </c>
    </row>
    <row r="36" spans="1:3" ht="12.75" customHeight="1" x14ac:dyDescent="0.25">
      <c r="A36" s="88" t="str">
        <f>+ENTREGABLE1!B53</f>
        <v>AGREGADO A LAS UTILIDADES ACUMULADAS</v>
      </c>
      <c r="B36" s="94">
        <f>+ENTREGABLE1!I53</f>
        <v>64.8</v>
      </c>
      <c r="C36" s="94">
        <f>+ENTREGABLE1!H53</f>
        <v>55.980000000000103</v>
      </c>
    </row>
    <row r="37" spans="1:3" ht="12.75" customHeight="1" x14ac:dyDescent="0.25"/>
    <row r="38" spans="1:3" ht="12.75" customHeight="1" x14ac:dyDescent="0.25"/>
    <row r="39" spans="1:3" ht="12.75" customHeight="1" x14ac:dyDescent="0.25"/>
    <row r="40" spans="1:3" ht="12.75" customHeight="1" x14ac:dyDescent="0.25"/>
    <row r="41" spans="1:3" ht="12.75" customHeight="1" x14ac:dyDescent="0.25"/>
    <row r="42" spans="1:3" ht="12.75" customHeight="1" x14ac:dyDescent="0.25"/>
    <row r="43" spans="1:3" ht="12.75" customHeight="1" x14ac:dyDescent="0.25"/>
    <row r="44" spans="1:3" ht="12.75" customHeight="1" x14ac:dyDescent="0.25"/>
    <row r="45" spans="1:3" ht="12.75" customHeight="1" x14ac:dyDescent="0.25"/>
    <row r="46" spans="1:3" ht="12.75" customHeight="1" x14ac:dyDescent="0.25"/>
    <row r="47" spans="1:3" ht="12.75" customHeight="1" x14ac:dyDescent="0.25"/>
    <row r="48" spans="1:3"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ENTREGABLE1</vt:lpstr>
      <vt:lpstr>Copia de ENTREGABLE1</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Esteban Yañez</dc:creator>
  <cp:lastModifiedBy>MEC</cp:lastModifiedBy>
  <dcterms:created xsi:type="dcterms:W3CDTF">1999-05-21T04:40:53Z</dcterms:created>
  <dcterms:modified xsi:type="dcterms:W3CDTF">2023-04-25T14:13:35Z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Documento</vt:lpwstr>
  </property>
</Properties>
</file>