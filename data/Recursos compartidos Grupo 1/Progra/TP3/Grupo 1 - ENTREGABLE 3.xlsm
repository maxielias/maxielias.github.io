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NTREGABLE 3" sheetId="1" r:id="rId4"/>
    <sheet state="visible" name="DOLAR MEP" sheetId="2" r:id="rId5"/>
    <sheet state="visible" name="Ejercicio 1 y 2" sheetId="3" r:id="rId6"/>
    <sheet state="visible" name="Ejercicio 3" sheetId="4" r:id="rId7"/>
    <sheet state="visible" name="Ejercicio 4" sheetId="5" r:id="rId8"/>
    <sheet state="visible" name="Ejercicio 5" sheetId="6" r:id="rId9"/>
    <sheet state="visible" name="Ejercicio 6" sheetId="7" r:id="rId10"/>
    <sheet state="visible" name="Ejercicio 7" sheetId="8" r:id="rId11"/>
    <sheet state="visible" name="Ejercicio 8 y 9" sheetId="9" r:id="rId12"/>
    <sheet state="visible" name="Ejercicio 10" sheetId="10" r:id="rId13"/>
  </sheets>
  <definedNames>
    <definedName name="taxtable">#REF!</definedName>
  </definedNames>
  <calcPr/>
  <extLst>
    <ext uri="GoogleSheetsCustomDataVersion1">
      <go:sheetsCustomData xmlns:go="http://customooxmlschemas.google.com/" r:id="rId14" roundtripDataSignature="AMtx7mhMvNtZNZe1uW/CtZgD1547sJv8xQ=="/>
    </ext>
  </extLst>
</workbook>
</file>

<file path=xl/sharedStrings.xml><?xml version="1.0" encoding="utf-8"?>
<sst xmlns="http://schemas.openxmlformats.org/spreadsheetml/2006/main" count="135" uniqueCount="87">
  <si>
    <t>ENTREGABLE 3</t>
  </si>
  <si>
    <t>VALUACION DE ACCIONES</t>
  </si>
  <si>
    <t>CALCULAR EL PRECIO DE UNA ACCION CON LOS SIGUIENTES DATOS</t>
  </si>
  <si>
    <t>CECIMIENTO = CONSTANTE 8%</t>
  </si>
  <si>
    <t>ULTIMO DIVIDENDO PAGADO 1,15$, EL DIVIDENDO 1 YA SE BENEFICIARA CON EL CRECIMIENTO ANUAL MENCIONADO</t>
  </si>
  <si>
    <t>UNA ACCION DE SIMILAR RIESGO RINDE 13,4%</t>
  </si>
  <si>
    <t>MUESTRE QUE TAN SENSIBLE ES EL PRECIO ANTE CAMBIOS EN CADA UNA DE LAS VARIABLES DE LA ECUACION</t>
  </si>
  <si>
    <t>A QUE VARIABLE ES MAS SENSIBLE?</t>
  </si>
  <si>
    <t xml:space="preserve">UN COLEGA SUYO AFIRMA QUE CON CALCULAR EL VALOR PRESENTE DE LOS PRIMEROS 4 O 5 DIVIDENDOS </t>
  </si>
  <si>
    <t>Y SUMANDOLOS PORQUE LOS SIGUIENTES AL ESAR LEJOS PESAN POCO PARA CALCULAR EL PRECIO. ES CIERTO?</t>
  </si>
  <si>
    <t>CUÁL ES EL DIVIDEN YIELD Y EL CAPITAL GAINS DE UNA ACCIÓN CON  P=23, D1=1,24 g=8%</t>
  </si>
  <si>
    <t>QUÉ SIGNIFICAN DICHOS RENDIMIENTOS?</t>
  </si>
  <si>
    <t>SE PRONOSTICA QUE UNA ACCIÓN TENDRÁ CRECIMIENTO CONSTANTE DEL 30% POR LOS PROXIMOS 3 AÑOS,</t>
  </si>
  <si>
    <t>LUEGO CRECERÁ SOLAMENTE AL 8% ANUAL POR MUCHO MUCHOS AÑOS.</t>
  </si>
  <si>
    <t>EL PRIMER DIVIDENDO YA SE BENEFICIARÁ CON EL 30% DE CRECIMIENTO, EL ULTIMO DIVIDENDO QUE SE PAGÓ FUE 1,15$</t>
  </si>
  <si>
    <t xml:space="preserve">EL CUARTO DIVIDENDO SE CALCULARÁ YA CON EL CRECIMIENTO DEL 8%. </t>
  </si>
  <si>
    <t>EL COSTO DE OPORTUNIDAD SE ESTIMA EN 13,4%</t>
  </si>
  <si>
    <t>CALCULAR EL PRECIO DE LA ACCION</t>
  </si>
  <si>
    <t>UNA ACCION PREFERIDA, POR CONTRATO GARANTIZA UN RENDIMIENT0 DEL 10% PERPETUO</t>
  </si>
  <si>
    <t>EL DIVIDENDO PREVISTO ES 10$ CUÁL ES SU PRECIO?</t>
  </si>
  <si>
    <t xml:space="preserve"> </t>
  </si>
  <si>
    <t>VALUACION DE BONOS</t>
  </si>
  <si>
    <t>UN BONO CON MADUREZ EN 15 AÑOS CALCULA SUS CUPONES CON UN 10% DE SU VALOR NOMINAL DE 1000.</t>
  </si>
  <si>
    <t>EL COSTO DE OPORTUNIDAD ES 10% DE ACUERDO A SU RIESGO. CUÁL ES SU PRECIO?</t>
  </si>
  <si>
    <t>SI EL COSTO DE OPORTUNIDAD PASARA A SER DE 10% A 15 % Y LUEGO A 5% QUE OCURRE CON EL PRECIO Y PORQUÉ?</t>
  </si>
  <si>
    <t>CALCULE LA TIR DE UN BONO QUE CALCULA SUS CUPONES COMO EL 10% DE SU VALOR NOMINAL DE 1000.</t>
  </si>
  <si>
    <t>LA MADUREZ ES DE 14 AÑOS. SU PRECIO HOY ES DE  1494,93</t>
  </si>
  <si>
    <t xml:space="preserve">SABIENDO EL PRECIO Y EL VALOR NOMINAL PODRÍA YA ANTICIPAR SI LA TIR SERÁ MAYOR O MENOR QUE EL 10% CON EL </t>
  </si>
  <si>
    <t>QUE CALCULA LOS CUPONES?</t>
  </si>
  <si>
    <t>TIENE LA SIGUIENTE INFORMACIÓN PARA DOS BONOS COSTO DE OPORTUNIDADPARA AMBOS POR SIMPLICIDAD  10%</t>
  </si>
  <si>
    <t>BONO A</t>
  </si>
  <si>
    <t>INTERESES</t>
  </si>
  <si>
    <t>CAPITAL</t>
  </si>
  <si>
    <t>BONO B</t>
  </si>
  <si>
    <t xml:space="preserve">PARA CADA BONO ARME UN PROMEDIO PONDERADO DE LAS DISTANCIAS A HOY DE CADA FLUJO DESCONTADO. </t>
  </si>
  <si>
    <t>PONDERE CADA DISTANCIA CON EL FACTOR: (FLUJO DESCONTADO EN ESA FECHA/PRECIO DEL BONO)</t>
  </si>
  <si>
    <t>¿PARA QUE LE PODRÍA SERVIR CONOCER ESTA DISTANCIA DE CADA BONO? INVESTIGUE SI ESTA HERRAMIENTA O SIMILAR EXISTE EN LA INFO FINANCIERA</t>
  </si>
  <si>
    <t>INVESTIGACIÓN</t>
  </si>
  <si>
    <t>EXPLIQUE DETALLADAMENTE LA COMPRA DE DÓLAR MEP</t>
  </si>
  <si>
    <t>Ejercicio</t>
  </si>
  <si>
    <t>D1</t>
  </si>
  <si>
    <t>r</t>
  </si>
  <si>
    <t>g</t>
  </si>
  <si>
    <t>VP</t>
  </si>
  <si>
    <t>Ejercicio 2</t>
  </si>
  <si>
    <t>Sensibilidad</t>
  </si>
  <si>
    <t>Var. Nominal</t>
  </si>
  <si>
    <t>Var. Porcentual</t>
  </si>
  <si>
    <t>Variaciones</t>
  </si>
  <si>
    <t>Dividendo</t>
  </si>
  <si>
    <t>Precio (var. div.)</t>
  </si>
  <si>
    <t>Costo de Oportunidad</t>
  </si>
  <si>
    <t>Precio (var. r)</t>
  </si>
  <si>
    <t>Crecimiento Dividendos</t>
  </si>
  <si>
    <t>Precio (var. g)</t>
  </si>
  <si>
    <t>Precio Acción</t>
  </si>
  <si>
    <t>D</t>
  </si>
  <si>
    <t>Dn * (1 + g)^n / (1 + r)^n</t>
  </si>
  <si>
    <t>=&gt;</t>
  </si>
  <si>
    <t>Finito</t>
  </si>
  <si>
    <t>D1 / (r - g)</t>
  </si>
  <si>
    <t>Infinito</t>
  </si>
  <si>
    <t>P0</t>
  </si>
  <si>
    <t>P1</t>
  </si>
  <si>
    <t>Capital Gain</t>
  </si>
  <si>
    <t>Dividend Yield</t>
  </si>
  <si>
    <t>g1</t>
  </si>
  <si>
    <t>g2</t>
  </si>
  <si>
    <t>Periodo</t>
  </si>
  <si>
    <t>VP Div.</t>
  </si>
  <si>
    <t>VP Perp.</t>
  </si>
  <si>
    <t>VN</t>
  </si>
  <si>
    <t>M</t>
  </si>
  <si>
    <t>C</t>
  </si>
  <si>
    <t>C$</t>
  </si>
  <si>
    <t>Val. Desc Cupones</t>
  </si>
  <si>
    <t>Val. Desc Nominal</t>
  </si>
  <si>
    <t>PRECIO</t>
  </si>
  <si>
    <t>r1</t>
  </si>
  <si>
    <t>r2</t>
  </si>
  <si>
    <t>r3</t>
  </si>
  <si>
    <t>TIR</t>
  </si>
  <si>
    <t>VN1</t>
  </si>
  <si>
    <t>Precio</t>
  </si>
  <si>
    <t>Duration</t>
  </si>
  <si>
    <t>VN2</t>
  </si>
  <si>
    <t>Costo de oportunidad</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</si>
</sst>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quot;$&quot;#,##0.00_);[Red]\(&quot;$&quot;#,##0.00\)"/>
    <numFmt numFmtId="165" formatCode="0.0%"/>
    <numFmt numFmtId="166" formatCode="0.000"/>
  </numFmts>
  <fonts count="14">
    <font>
      <sz val="10.0"/>
      <color rgb="FF000000"/>
      <name val="Arial"/>
      <scheme val="minor"/>
    </font>
    <font>
      <sz val="10.0"/>
      <color theme="1"/>
      <name val="Arial"/>
    </font>
    <font>
      <b/>
      <sz val="10.0"/>
      <color theme="1"/>
      <name val="Times New Roman"/>
    </font>
    <font>
      <b/>
      <sz val="12.0"/>
      <color rgb="FF800000"/>
      <name val="Times New Roman"/>
    </font>
    <font>
      <b/>
      <sz val="10.0"/>
      <color rgb="FF000080"/>
      <name val="Times New Roman"/>
    </font>
    <font>
      <b/>
      <sz val="10.0"/>
      <color rgb="FF800000"/>
      <name val="Times New Roman"/>
    </font>
    <font>
      <b/>
      <sz val="10.0"/>
      <color rgb="FFFF0000"/>
      <name val="Times New Roman"/>
    </font>
    <font>
      <b/>
      <sz val="10.0"/>
      <color rgb="FF800080"/>
      <name val="Times New Roman"/>
    </font>
    <font>
      <b/>
      <sz val="10.0"/>
      <color rgb="FF008000"/>
      <name val="Times New Roman"/>
    </font>
    <font>
      <b/>
      <sz val="10.0"/>
      <color rgb="FF205867"/>
      <name val="Times New Roman"/>
    </font>
    <font>
      <b/>
      <sz val="10.0"/>
      <color theme="1"/>
      <name val="Arial Black"/>
    </font>
    <font>
      <sz val="10.0"/>
      <color rgb="FFFF0000"/>
      <name val="Arial"/>
    </font>
    <font>
      <color theme="1"/>
      <name val="Arial"/>
      <scheme val="minor"/>
    </font>
    <font/>
  </fonts>
  <fills count="4">
    <fill>
      <patternFill patternType="none"/>
    </fill>
    <fill>
      <patternFill patternType="lightGray"/>
    </fill>
    <fill>
      <patternFill patternType="solid">
        <fgColor rgb="FFFFFF00"/>
        <bgColor rgb="FFFFFF00"/>
      </patternFill>
    </fill>
    <fill>
      <patternFill patternType="solid">
        <fgColor theme="0"/>
        <bgColor theme="0"/>
      </patternFill>
    </fill>
  </fills>
  <borders count="19">
    <border/>
    <border>
      <left/>
      <right/>
      <top/>
      <bottom/>
    </border>
    <border>
      <left style="thin">
        <color rgb="FF000000"/>
      </left>
      <right style="thin">
        <color rgb="FF000000"/>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bottom/>
    </border>
    <border>
      <left style="thin">
        <color rgb="FF000000"/>
      </left>
      <right/>
      <top style="thin">
        <color rgb="FF000000"/>
      </top>
      <bottom/>
    </border>
    <border>
      <left/>
      <right/>
      <top style="thin">
        <color rgb="FF000000"/>
      </top>
      <bottom/>
    </border>
    <border>
      <left style="thin">
        <color rgb="FF000000"/>
      </left>
      <right/>
      <top/>
      <bottom/>
    </border>
    <border>
      <left style="thin">
        <color rgb="FF000000"/>
      </left>
      <right style="thin">
        <color rgb="FF000000"/>
      </right>
      <top/>
      <bottom style="thin">
        <color rgb="FF000000"/>
      </bottom>
    </border>
    <border>
      <left style="thin">
        <color rgb="FF000000"/>
      </left>
      <right/>
      <top/>
      <bottom style="thin">
        <color rgb="FF000000"/>
      </bottom>
    </border>
    <border>
      <left/>
      <right/>
      <top/>
      <bottom style="thin">
        <color rgb="FF000000"/>
      </bottom>
    </border>
    <border>
      <left/>
      <top/>
      <bottom/>
    </border>
    <border>
      <top/>
      <bottom/>
    </border>
    <border>
      <right/>
      <top/>
      <bottom/>
    </border>
    <border>
      <left/>
      <right style="thin">
        <color rgb="FF000000"/>
      </right>
      <top/>
      <bottom/>
    </border>
    <border>
      <left/>
      <right style="thin">
        <color rgb="FF000000"/>
      </right>
      <top/>
      <bottom style="thin">
        <color rgb="FF000000"/>
      </bottom>
    </border>
    <border>
      <left/>
      <right style="thin">
        <color rgb="FF000000"/>
      </right>
      <top style="thin">
        <color rgb="FF000000"/>
      </top>
      <bottom/>
    </border>
    <border>
      <left/>
      <right/>
      <top style="thin">
        <color rgb="FF000000"/>
      </top>
      <bottom style="thin">
        <color rgb="FF000000"/>
      </bottom>
    </border>
  </borders>
  <cellStyleXfs count="1">
    <xf borderId="0" fillId="0" fontId="0" numFmtId="0" applyAlignment="1" applyFont="1"/>
  </cellStyleXfs>
  <cellXfs count="69">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Alignment="1" applyFont="1">
      <alignment horizontal="center"/>
    </xf>
    <xf borderId="1" fillId="2" fontId="2" numFmtId="0" xfId="0" applyBorder="1" applyFill="1" applyFont="1"/>
    <xf borderId="0" fillId="0" fontId="4" numFmtId="0" xfId="0" applyAlignment="1" applyFont="1">
      <alignment horizontal="left" shrinkToFit="0" wrapText="1"/>
    </xf>
    <xf borderId="0" fillId="0" fontId="5" numFmtId="0" xfId="0" applyFont="1"/>
    <xf borderId="0" fillId="0" fontId="4" numFmtId="0" xfId="0" applyFont="1"/>
    <xf borderId="1" fillId="2" fontId="4" numFmtId="0" xfId="0" applyBorder="1" applyFont="1"/>
    <xf borderId="0" fillId="0" fontId="4" numFmtId="0" xfId="0" applyAlignment="1" applyFont="1">
      <alignment horizontal="left"/>
    </xf>
    <xf borderId="0" fillId="0" fontId="6" numFmtId="164" xfId="0" applyAlignment="1" applyFont="1" applyNumberFormat="1">
      <alignment horizontal="center"/>
    </xf>
    <xf borderId="0" fillId="0" fontId="2" numFmtId="0" xfId="0" applyAlignment="1" applyFont="1">
      <alignment horizontal="center"/>
    </xf>
    <xf borderId="1" fillId="2" fontId="4" numFmtId="0" xfId="0" applyAlignment="1" applyBorder="1" applyFont="1">
      <alignment horizontal="left"/>
    </xf>
    <xf borderId="1" fillId="2" fontId="6" numFmtId="164" xfId="0" applyAlignment="1" applyBorder="1" applyFont="1" applyNumberFormat="1">
      <alignment horizontal="center"/>
    </xf>
    <xf borderId="1" fillId="2" fontId="2" numFmtId="0" xfId="0" applyAlignment="1" applyBorder="1" applyFont="1">
      <alignment horizontal="center"/>
    </xf>
    <xf borderId="1" fillId="2" fontId="2" numFmtId="10" xfId="0" applyAlignment="1" applyBorder="1" applyFont="1" applyNumberFormat="1">
      <alignment horizontal="center"/>
    </xf>
    <xf borderId="0" fillId="0" fontId="7" numFmtId="0" xfId="0" applyAlignment="1" applyFont="1">
      <alignment horizontal="center"/>
    </xf>
    <xf borderId="1" fillId="2" fontId="8" numFmtId="0" xfId="0" applyBorder="1" applyFont="1"/>
    <xf borderId="1" fillId="2" fontId="4" numFmtId="164" xfId="0" applyBorder="1" applyFont="1" applyNumberFormat="1"/>
    <xf borderId="1" fillId="2" fontId="5" numFmtId="0" xfId="0" applyBorder="1" applyFont="1"/>
    <xf borderId="0" fillId="0" fontId="9" numFmtId="0" xfId="0" applyAlignment="1" applyFont="1">
      <alignment horizontal="left"/>
    </xf>
    <xf borderId="0" fillId="0" fontId="9" numFmtId="0" xfId="0" applyFont="1"/>
    <xf borderId="0" fillId="0" fontId="2" numFmtId="1" xfId="0" applyFont="1" applyNumberFormat="1"/>
    <xf borderId="0" fillId="0" fontId="10" numFmtId="0" xfId="0" applyFont="1"/>
    <xf borderId="1" fillId="3" fontId="1" numFmtId="0" xfId="0" applyBorder="1" applyFill="1" applyFont="1"/>
    <xf borderId="2" fillId="3" fontId="1" numFmtId="0" xfId="0" applyBorder="1" applyFont="1"/>
    <xf borderId="3" fillId="3" fontId="1" numFmtId="0" xfId="0" applyBorder="1" applyFont="1"/>
    <xf borderId="4" fillId="3" fontId="1" numFmtId="0" xfId="0" applyAlignment="1" applyBorder="1" applyFont="1">
      <alignment readingOrder="0"/>
    </xf>
    <xf borderId="4" fillId="3" fontId="1" numFmtId="0" xfId="0" applyBorder="1" applyFont="1"/>
    <xf borderId="5" fillId="3" fontId="1" numFmtId="0" xfId="0" applyBorder="1" applyFont="1"/>
    <xf borderId="5" fillId="3" fontId="1" numFmtId="165" xfId="0" applyBorder="1" applyFont="1" applyNumberFormat="1"/>
    <xf borderId="2" fillId="3" fontId="11" numFmtId="0" xfId="0" applyBorder="1" applyFont="1"/>
    <xf borderId="2" fillId="3" fontId="11" numFmtId="4" xfId="0" applyBorder="1" applyFont="1" applyNumberFormat="1"/>
    <xf borderId="2" fillId="3" fontId="11" numFmtId="165" xfId="0" applyBorder="1" applyFont="1" applyNumberFormat="1"/>
    <xf borderId="6" fillId="3" fontId="1" numFmtId="2" xfId="0" applyBorder="1" applyFont="1" applyNumberFormat="1"/>
    <xf borderId="7" fillId="3" fontId="1" numFmtId="2" xfId="0" applyBorder="1" applyFont="1" applyNumberFormat="1"/>
    <xf borderId="6" fillId="3" fontId="1" numFmtId="4" xfId="0" applyBorder="1" applyFont="1" applyNumberFormat="1"/>
    <xf borderId="4" fillId="3" fontId="11" numFmtId="10" xfId="0" applyBorder="1" applyFont="1" applyNumberFormat="1"/>
    <xf borderId="8" fillId="3" fontId="1" numFmtId="165" xfId="0" applyBorder="1" applyFont="1" applyNumberFormat="1"/>
    <xf borderId="1" fillId="3" fontId="1" numFmtId="165" xfId="0" applyBorder="1" applyFont="1" applyNumberFormat="1"/>
    <xf borderId="8" fillId="3" fontId="1" numFmtId="10" xfId="0" applyBorder="1" applyFont="1" applyNumberFormat="1"/>
    <xf borderId="5" fillId="3" fontId="11" numFmtId="10" xfId="0" applyBorder="1" applyFont="1" applyNumberFormat="1"/>
    <xf borderId="8" fillId="3" fontId="1" numFmtId="2" xfId="0" applyBorder="1" applyFont="1" applyNumberFormat="1"/>
    <xf borderId="1" fillId="3" fontId="1" numFmtId="4" xfId="0" applyBorder="1" applyFont="1" applyNumberFormat="1"/>
    <xf borderId="8" fillId="3" fontId="1" numFmtId="4" xfId="0" applyBorder="1" applyFont="1" applyNumberFormat="1"/>
    <xf borderId="9" fillId="3" fontId="1" numFmtId="0" xfId="0" applyBorder="1" applyFont="1"/>
    <xf borderId="10" fillId="3" fontId="1" numFmtId="4" xfId="0" applyBorder="1" applyFont="1" applyNumberFormat="1"/>
    <xf borderId="11" fillId="3" fontId="1" numFmtId="4" xfId="0" applyBorder="1" applyFont="1" applyNumberFormat="1"/>
    <xf borderId="9" fillId="3" fontId="1" numFmtId="10" xfId="0" applyBorder="1" applyFont="1" applyNumberFormat="1"/>
    <xf borderId="10" fillId="3" fontId="1" numFmtId="2" xfId="0" applyBorder="1" applyFont="1" applyNumberFormat="1"/>
    <xf borderId="0" fillId="0" fontId="12" numFmtId="0" xfId="0" applyAlignment="1" applyFont="1">
      <alignment readingOrder="0"/>
    </xf>
    <xf borderId="12" fillId="3" fontId="1" numFmtId="0" xfId="0" applyAlignment="1" applyBorder="1" applyFont="1">
      <alignment horizontal="center"/>
    </xf>
    <xf borderId="13" fillId="0" fontId="13" numFmtId="0" xfId="0" applyBorder="1" applyFont="1"/>
    <xf borderId="14" fillId="0" fontId="13" numFmtId="0" xfId="0" applyBorder="1" applyFont="1"/>
    <xf quotePrefix="1" borderId="1" fillId="3" fontId="1" numFmtId="0" xfId="0" applyBorder="1" applyFont="1"/>
    <xf borderId="1" fillId="3" fontId="11" numFmtId="4" xfId="0" applyBorder="1" applyFont="1" applyNumberFormat="1"/>
    <xf borderId="2" fillId="3" fontId="11" numFmtId="10" xfId="0" applyBorder="1" applyFont="1" applyNumberFormat="1"/>
    <xf borderId="9" fillId="3" fontId="1" numFmtId="165" xfId="0" applyBorder="1" applyFont="1" applyNumberFormat="1"/>
    <xf borderId="1" fillId="3" fontId="11" numFmtId="0" xfId="0" applyBorder="1" applyFont="1"/>
    <xf borderId="1" fillId="3" fontId="1" numFmtId="2" xfId="0" applyBorder="1" applyFont="1" applyNumberFormat="1"/>
    <xf borderId="15" fillId="3" fontId="1" numFmtId="165" xfId="0" applyBorder="1" applyFont="1" applyNumberFormat="1"/>
    <xf borderId="16" fillId="3" fontId="1" numFmtId="165" xfId="0" applyBorder="1" applyFont="1" applyNumberFormat="1"/>
    <xf borderId="1" fillId="3" fontId="11" numFmtId="2" xfId="0" applyBorder="1" applyFont="1" applyNumberFormat="1"/>
    <xf borderId="17" fillId="3" fontId="1" numFmtId="0" xfId="0" applyBorder="1" applyFont="1"/>
    <xf borderId="18" fillId="3" fontId="1" numFmtId="0" xfId="0" applyBorder="1" applyFont="1"/>
    <xf borderId="7" fillId="3" fontId="1" numFmtId="0" xfId="0" applyBorder="1" applyFont="1"/>
    <xf borderId="11" fillId="3" fontId="1" numFmtId="0" xfId="0" applyBorder="1" applyFont="1"/>
    <xf borderId="16" fillId="3" fontId="1" numFmtId="0" xfId="0" applyBorder="1" applyFont="1"/>
    <xf borderId="1" fillId="3" fontId="11" numFmtId="166" xfId="0" applyBorder="1"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4"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000">
                <a:solidFill>
                  <a:srgbClr val="757575"/>
                </a:solidFill>
                <a:latin typeface="Calibri"/>
              </a:defRPr>
            </a:pPr>
            <a:r>
              <a:rPr b="0" i="0" sz="1000">
                <a:solidFill>
                  <a:srgbClr val="757575"/>
                </a:solidFill>
                <a:latin typeface="Calibri"/>
              </a:rPr>
              <a:t>Evolución de los componentes del modelo según una variación del 10% de Precio</a:t>
            </a:r>
          </a:p>
        </c:rich>
      </c:tx>
      <c:overlay val="0"/>
    </c:title>
    <c:plotArea>
      <c:layout/>
      <c:barChart>
        <c:barDir val="col"/>
        <c:ser>
          <c:idx val="0"/>
          <c:order val="0"/>
          <c:tx>
            <c:v>Dividendo</c:v>
          </c:tx>
          <c:spPr>
            <a:solidFill>
              <a:schemeClr val="accent1"/>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2'!$E$8</c:f>
              <c:numCache/>
            </c:numRef>
          </c:val>
        </c:ser>
        <c:ser>
          <c:idx val="1"/>
          <c:order val="1"/>
          <c:tx>
            <c:v>Costo de Oportunidad</c:v>
          </c:tx>
          <c:spPr>
            <a:solidFill>
              <a:schemeClr val="accent2"/>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2'!$E$9</c:f>
              <c:numCache/>
            </c:numRef>
          </c:val>
        </c:ser>
        <c:ser>
          <c:idx val="2"/>
          <c:order val="2"/>
          <c:tx>
            <c:v>Crecimiento Dividendos</c:v>
          </c:tx>
          <c:spPr>
            <a:solidFill>
              <a:schemeClr val="accent3"/>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2'!$E$10</c:f>
              <c:numCache/>
            </c:numRef>
          </c:val>
        </c:ser>
        <c:axId val="546153101"/>
        <c:axId val="1309099048"/>
      </c:barChart>
      <c:catAx>
        <c:axId val="54615310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Calibri"/>
              </a:defRPr>
            </a:pPr>
          </a:p>
        </c:txPr>
        <c:crossAx val="1309099048"/>
      </c:catAx>
      <c:valAx>
        <c:axId val="130909904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Calibri"/>
              </a:defRPr>
            </a:pPr>
          </a:p>
        </c:txPr>
        <c:crossAx val="546153101"/>
        <c:majorUnit val="0.05000000000000001"/>
      </c:valAx>
    </c:plotArea>
    <c:legend>
      <c:legendPos val="b"/>
      <c:layout>
        <c:manualLayout>
          <c:xMode val="edge"/>
          <c:yMode val="edge"/>
          <c:x val="0.0447716049382716"/>
          <c:y val="0.7877015873015873"/>
        </c:manualLayout>
      </c:layout>
      <c:overlay val="0"/>
      <c:txPr>
        <a:bodyPr/>
        <a:lstStyle/>
        <a:p>
          <a:pPr lvl="0">
            <a:defRPr b="0" i="0" sz="900">
              <a:solidFill>
                <a:srgbClr val="1A1A1A"/>
              </a:solidFill>
              <a:latin typeface="Calibri"/>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000">
                <a:solidFill>
                  <a:srgbClr val="757575"/>
                </a:solidFill>
                <a:latin typeface="Calibri"/>
              </a:defRPr>
            </a:pPr>
            <a:r>
              <a:rPr b="0" i="0" sz="1000">
                <a:solidFill>
                  <a:srgbClr val="757575"/>
                </a:solidFill>
                <a:latin typeface="Calibri"/>
              </a:rPr>
              <a:t>Sensibilidad del Precio a variaciones de 10% en componentes</a:t>
            </a:r>
          </a:p>
        </c:rich>
      </c:tx>
      <c:overlay val="0"/>
    </c:title>
    <c:plotArea>
      <c:layout/>
      <c:barChart>
        <c:barDir val="col"/>
        <c:ser>
          <c:idx val="0"/>
          <c:order val="0"/>
          <c:tx>
            <c:v>Precio (var. div.)</c:v>
          </c:tx>
          <c:spPr>
            <a:solidFill>
              <a:schemeClr val="accent1"/>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2'!$N$8</c:f>
              <c:numCache/>
            </c:numRef>
          </c:val>
        </c:ser>
        <c:ser>
          <c:idx val="1"/>
          <c:order val="1"/>
          <c:tx>
            <c:v>Precio (var. r)</c:v>
          </c:tx>
          <c:spPr>
            <a:solidFill>
              <a:schemeClr val="accent2"/>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2'!$N$9</c:f>
              <c:numCache/>
            </c:numRef>
          </c:val>
        </c:ser>
        <c:ser>
          <c:idx val="2"/>
          <c:order val="2"/>
          <c:tx>
            <c:v>Precio (var. g)</c:v>
          </c:tx>
          <c:spPr>
            <a:solidFill>
              <a:schemeClr val="accent3"/>
            </a:solidFill>
            <a:ln cmpd="sng">
              <a:solidFill>
                <a:srgbClr val="000000"/>
              </a:solidFill>
            </a:ln>
          </c:spPr>
          <c:dLbls>
            <c:numFmt formatCode="General" sourceLinked="1"/>
            <c:txPr>
              <a:bodyPr/>
              <a:lstStyle/>
              <a:p>
                <a:pPr lvl="0">
                  <a:defRPr b="0" i="0" sz="900">
                    <a:latin typeface="Calibri"/>
                  </a:defRPr>
                </a:pPr>
              </a:p>
            </c:txPr>
            <c:showLegendKey val="0"/>
            <c:showVal val="1"/>
            <c:showCatName val="0"/>
            <c:showSerName val="0"/>
            <c:showPercent val="0"/>
            <c:showBubbleSize val="0"/>
          </c:dLbls>
          <c:val>
            <c:numRef>
              <c:f>'Ejercicio 1 y 2'!$N$10</c:f>
              <c:numCache/>
            </c:numRef>
          </c:val>
        </c:ser>
        <c:axId val="1366861860"/>
        <c:axId val="1029284275"/>
      </c:barChart>
      <c:catAx>
        <c:axId val="136686186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Calibri"/>
              </a:defRPr>
            </a:pPr>
          </a:p>
        </c:txPr>
        <c:crossAx val="1029284275"/>
      </c:catAx>
      <c:valAx>
        <c:axId val="102928427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Calibri"/>
              </a:defRPr>
            </a:pPr>
          </a:p>
        </c:txPr>
        <c:crossAx val="1366861860"/>
        <c:majorUnit val="0.05000000000000001"/>
      </c:valAx>
    </c:plotArea>
    <c:legend>
      <c:legendPos val="b"/>
      <c:layout>
        <c:manualLayout>
          <c:xMode val="edge"/>
          <c:yMode val="edge"/>
          <c:x val="0.15116904761904762"/>
          <c:y val="0.8072309523809523"/>
        </c:manualLayout>
      </c:layout>
      <c:overlay val="0"/>
      <c:txPr>
        <a:bodyPr/>
        <a:lstStyle/>
        <a:p>
          <a:pPr lvl="0">
            <a:defRPr b="0" i="0" sz="900">
              <a:solidFill>
                <a:srgbClr val="1A1A1A"/>
              </a:solidFill>
              <a:latin typeface="Calibri"/>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000">
                <a:solidFill>
                  <a:srgbClr val="757575"/>
                </a:solidFill>
                <a:latin typeface="Calibri"/>
              </a:defRPr>
            </a:pPr>
            <a:r>
              <a:rPr b="0" i="0" sz="1000">
                <a:solidFill>
                  <a:srgbClr val="757575"/>
                </a:solidFill>
                <a:latin typeface="Calibri"/>
              </a:rPr>
              <a:t>Sumatoria de Dividendos Descontados por Periodo</a:t>
            </a:r>
          </a:p>
        </c:rich>
      </c:tx>
      <c:overlay val="0"/>
    </c:title>
    <c:plotArea>
      <c:layout/>
      <c:lineChart>
        <c:ser>
          <c:idx val="0"/>
          <c:order val="0"/>
          <c:tx>
            <c:v>Sumatoria Dividendos Descontados</c:v>
          </c:tx>
          <c:spPr>
            <a:ln cmpd="sng" w="28575">
              <a:solidFill>
                <a:schemeClr val="accent3"/>
              </a:solidFill>
            </a:ln>
          </c:spPr>
          <c:marker>
            <c:symbol val="none"/>
          </c:marker>
          <c:val>
            <c:numRef>
              <c:f>'Ejercicio 3'!$A$9:$CV$9</c:f>
              <c:numCache/>
            </c:numRef>
          </c:val>
          <c:smooth val="0"/>
        </c:ser>
        <c:ser>
          <c:idx val="1"/>
          <c:order val="1"/>
          <c:tx>
            <c:v>Dividendo Descontado del Periodo</c:v>
          </c:tx>
          <c:spPr>
            <a:ln cmpd="sng" w="28575">
              <a:solidFill>
                <a:schemeClr val="accent2"/>
              </a:solidFill>
            </a:ln>
          </c:spPr>
          <c:marker>
            <c:symbol val="none"/>
          </c:marker>
          <c:val>
            <c:numRef>
              <c:f>'Ejercicio 3'!$A$8:$CV$8</c:f>
              <c:numCache/>
            </c:numRef>
          </c:val>
          <c:smooth val="0"/>
        </c:ser>
        <c:axId val="2018368689"/>
        <c:axId val="651179248"/>
      </c:lineChart>
      <c:catAx>
        <c:axId val="201836868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Calibri"/>
              </a:defRPr>
            </a:pPr>
          </a:p>
        </c:txPr>
        <c:crossAx val="651179248"/>
      </c:catAx>
      <c:valAx>
        <c:axId val="65117924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Calibri"/>
              </a:defRPr>
            </a:pPr>
          </a:p>
        </c:txPr>
        <c:crossAx val="2018368689"/>
      </c:valAx>
    </c:plotArea>
    <c:legend>
      <c:legendPos val="b"/>
      <c:overlay val="0"/>
      <c:txPr>
        <a:bodyPr/>
        <a:lstStyle/>
        <a:p>
          <a:pPr lvl="0">
            <a:defRPr b="0" i="0" sz="900">
              <a:solidFill>
                <a:srgbClr val="1A1A1A"/>
              </a:solidFill>
              <a:latin typeface="Calibri"/>
            </a:defRPr>
          </a:pPr>
        </a:p>
      </c:txPr>
    </c:legend>
    <c:plotVisOnly val="1"/>
  </c:chart>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95250</xdr:rowOff>
    </xdr:from>
    <xdr:ext cx="9934575" cy="2028825"/>
    <xdr:sp>
      <xdr:nvSpPr>
        <xdr:cNvPr id="3" name="Shape 3"/>
        <xdr:cNvSpPr txBox="1"/>
      </xdr:nvSpPr>
      <xdr:spPr>
        <a:xfrm>
          <a:off x="380300" y="2767175"/>
          <a:ext cx="9931400" cy="2025650"/>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0" i="0" lang="en-US" sz="1100">
              <a:solidFill>
                <a:schemeClr val="dk1"/>
              </a:solidFill>
              <a:latin typeface="Calibri"/>
              <a:ea typeface="Calibri"/>
              <a:cs typeface="Calibri"/>
              <a:sym typeface="Calibri"/>
            </a:rPr>
            <a:t>El dólar MEP</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es una operación financiera que se utiliza en Argentina para adquirir dólares estadounidenses de manera legal para evitar las restricciones de compra de divisas, por el mercado formal al precio oficial,</a:t>
          </a:r>
          <a:r>
            <a:rPr b="0" i="0" lang="en-US" sz="1100">
              <a:solidFill>
                <a:schemeClr val="dk1"/>
              </a:solidFill>
              <a:latin typeface="Calibri"/>
              <a:ea typeface="Calibri"/>
              <a:cs typeface="Calibri"/>
              <a:sym typeface="Calibri"/>
            </a:rPr>
            <a:t> pero generalmente a un tipo de cambio menos ventajoso.</a:t>
          </a:r>
          <a:endParaRPr b="0" i="0" sz="1100">
            <a:solidFill>
              <a:schemeClr val="dk1"/>
            </a:solidFill>
            <a:latin typeface="Calibri"/>
            <a:ea typeface="Calibri"/>
            <a:cs typeface="Calibri"/>
            <a:sym typeface="Calibri"/>
          </a:endParaRPr>
        </a:p>
        <a:p>
          <a:pPr indent="0" lvl="0" marL="0" rtl="0" algn="l">
            <a:spcBef>
              <a:spcPts val="0"/>
            </a:spcBef>
            <a:spcAft>
              <a:spcPts val="0"/>
            </a:spcAft>
            <a:buNone/>
          </a:pPr>
          <a:r>
            <a:rPr b="0" i="0" lang="en-US" sz="1100">
              <a:solidFill>
                <a:schemeClr val="dk1"/>
              </a:solidFill>
              <a:latin typeface="Calibri"/>
              <a:ea typeface="Calibri"/>
              <a:cs typeface="Calibri"/>
              <a:sym typeface="Calibri"/>
            </a:rPr>
            <a:t>Esta operación se realiza a través de la compra de bonos en pesos argentinos que cotizan en la Bolsa y la posterior venta de esos mismos bonos en dólares.</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El mecanismo funciona de la siguiente manera:</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un inversor compra bonos en pesos argentinos que cotizan en la Bolsa local, por ejemplo, el Bonar 2024. Luego de esperar el límite de días por parking</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(plazo de tenencia mínima</a:t>
          </a:r>
          <a:r>
            <a:rPr b="0" i="0" lang="en-US" sz="1100">
              <a:solidFill>
                <a:schemeClr val="dk1"/>
              </a:solidFill>
              <a:latin typeface="Calibri"/>
              <a:ea typeface="Calibri"/>
              <a:cs typeface="Calibri"/>
              <a:sym typeface="Calibri"/>
            </a:rPr>
            <a:t> obligatoria)</a:t>
          </a:r>
          <a:r>
            <a:rPr b="0" i="0" lang="en-US" sz="1100">
              <a:solidFill>
                <a:schemeClr val="dk1"/>
              </a:solidFill>
              <a:latin typeface="Calibri"/>
              <a:ea typeface="Calibri"/>
              <a:cs typeface="Calibri"/>
              <a:sym typeface="Calibri"/>
            </a:rPr>
            <a:t> los vende en dólares.  El precio del dólar MEP se obtiene dividiendo el precio del bono AL30 (o GD30) en pesos sobre el precio del bono AL30 (o GD30D) en dólares (AL30D). A esto</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se le debe agregar</a:t>
          </a:r>
          <a:r>
            <a:rPr b="0" i="0" lang="en-US" sz="1100">
              <a:solidFill>
                <a:schemeClr val="dk1"/>
              </a:solidFill>
              <a:latin typeface="Calibri"/>
              <a:ea typeface="Calibri"/>
              <a:cs typeface="Calibri"/>
              <a:sym typeface="Calibri"/>
            </a:rPr>
            <a:t> las comisiones cobradas por el broker.</a:t>
          </a:r>
          <a:endParaRPr b="0" i="0" sz="1100">
            <a:solidFill>
              <a:schemeClr val="dk1"/>
            </a:solidFill>
            <a:latin typeface="Calibri"/>
            <a:ea typeface="Calibri"/>
            <a:cs typeface="Calibri"/>
            <a:sym typeface="Calibri"/>
          </a:endParaRPr>
        </a:p>
        <a:p>
          <a:pPr indent="0" lvl="0" marL="0" rtl="0" algn="l">
            <a:spcBef>
              <a:spcPts val="0"/>
            </a:spcBef>
            <a:spcAft>
              <a:spcPts val="0"/>
            </a:spcAft>
            <a:buNone/>
          </a:pPr>
          <a:r>
            <a:rPr b="0" i="0" lang="en-US" sz="1100">
              <a:solidFill>
                <a:schemeClr val="dk1"/>
              </a:solidFill>
              <a:latin typeface="Calibri"/>
              <a:ea typeface="Calibri"/>
              <a:cs typeface="Calibri"/>
              <a:sym typeface="Calibri"/>
            </a:rPr>
            <a:t>En Argentina, el dólar MEP se utiliza como una herramienta para protegerse de la devaluación del peso argentino, y es una opción popular para los inversores que buscan alternativas al dólar</a:t>
          </a:r>
          <a:r>
            <a:rPr b="0" i="0" lang="en-US" sz="1100">
              <a:solidFill>
                <a:schemeClr val="dk1"/>
              </a:solidFill>
              <a:latin typeface="Calibri"/>
              <a:ea typeface="Calibri"/>
              <a:cs typeface="Calibri"/>
              <a:sym typeface="Calibri"/>
            </a:rPr>
            <a:t> </a:t>
          </a:r>
          <a:r>
            <a:rPr b="0" i="0" lang="en-US" sz="1100">
              <a:solidFill>
                <a:schemeClr val="dk1"/>
              </a:solidFill>
              <a:latin typeface="Calibri"/>
              <a:ea typeface="Calibri"/>
              <a:cs typeface="Calibri"/>
              <a:sym typeface="Calibri"/>
            </a:rPr>
            <a:t>oficial. Sin embargo, cabe destacar que esta operación tiene ciertas limitaciones y regulaciones establecidas por el gobierno argentino y el mercado financiero local.</a:t>
          </a:r>
          <a:endParaRPr sz="1400"/>
        </a:p>
        <a:p>
          <a:pPr indent="0" lvl="0" marL="0" rtl="0" algn="l">
            <a:spcBef>
              <a:spcPts val="0"/>
            </a:spcBef>
            <a:spcAft>
              <a:spcPts val="0"/>
            </a:spcAft>
            <a:buNone/>
          </a:pPr>
          <a:r>
            <a:t/>
          </a:r>
          <a:endParaRPr sz="11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11</xdr:row>
      <xdr:rowOff>0</xdr:rowOff>
    </xdr:from>
    <xdr:ext cx="3505200" cy="2419350"/>
    <xdr:graphicFrame>
      <xdr:nvGraphicFramePr>
        <xdr:cNvPr id="70801644"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5</xdr:col>
      <xdr:colOff>0</xdr:colOff>
      <xdr:row>11</xdr:row>
      <xdr:rowOff>0</xdr:rowOff>
    </xdr:from>
    <xdr:ext cx="3505200" cy="2419350"/>
    <xdr:graphicFrame>
      <xdr:nvGraphicFramePr>
        <xdr:cNvPr id="2008629469" name="Chart 2"/>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4</xdr:col>
      <xdr:colOff>904875</xdr:colOff>
      <xdr:row>26</xdr:row>
      <xdr:rowOff>76200</xdr:rowOff>
    </xdr:from>
    <xdr:ext cx="4143375" cy="476250"/>
    <xdr:sp>
      <xdr:nvSpPr>
        <xdr:cNvPr id="4" name="Shape 4"/>
        <xdr:cNvSpPr txBox="1"/>
      </xdr:nvSpPr>
      <xdr:spPr>
        <a:xfrm>
          <a:off x="3279075" y="3546638"/>
          <a:ext cx="4133850" cy="466725"/>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Ante un aumento del </a:t>
          </a:r>
          <a:r>
            <a:rPr lang="en-US" sz="1100">
              <a:solidFill>
                <a:srgbClr val="FF0000"/>
              </a:solidFill>
              <a:latin typeface="Calibri"/>
              <a:ea typeface="Calibri"/>
              <a:cs typeface="Calibri"/>
              <a:sym typeface="Calibri"/>
            </a:rPr>
            <a:t>10%</a:t>
          </a:r>
          <a:r>
            <a:rPr lang="en-US" sz="1100">
              <a:solidFill>
                <a:schemeClr val="dk1"/>
              </a:solidFill>
              <a:latin typeface="Calibri"/>
              <a:ea typeface="Calibri"/>
              <a:cs typeface="Calibri"/>
              <a:sym typeface="Calibri"/>
            </a:rPr>
            <a:t> del costo de oportunidad se observa la mayor sensibilidad del precio, que cae </a:t>
          </a:r>
          <a:r>
            <a:rPr lang="en-US" sz="1100">
              <a:solidFill>
                <a:srgbClr val="FF0000"/>
              </a:solidFill>
              <a:latin typeface="Calibri"/>
              <a:ea typeface="Calibri"/>
              <a:cs typeface="Calibri"/>
              <a:sym typeface="Calibri"/>
            </a:rPr>
            <a:t>19,88%</a:t>
          </a:r>
          <a:r>
            <a:rPr lang="en-US" sz="1100">
              <a:solidFill>
                <a:schemeClr val="dk1"/>
              </a:solidFill>
              <a:latin typeface="Calibri"/>
              <a:ea typeface="Calibri"/>
              <a:cs typeface="Calibri"/>
              <a:sym typeface="Calibri"/>
            </a:rPr>
            <a:t>.</a:t>
          </a:r>
          <a:endParaRPr sz="1400"/>
        </a:p>
      </xdr:txBody>
    </xdr:sp>
    <xdr:clientData fLocksWithSheet="0"/>
  </xdr:oneCellAnchor>
  <xdr:oneCellAnchor>
    <xdr:from>
      <xdr:col>0</xdr:col>
      <xdr:colOff>38100</xdr:colOff>
      <xdr:row>26</xdr:row>
      <xdr:rowOff>76200</xdr:rowOff>
    </xdr:from>
    <xdr:ext cx="4095750" cy="609600"/>
    <xdr:sp>
      <xdr:nvSpPr>
        <xdr:cNvPr id="5" name="Shape 5"/>
        <xdr:cNvSpPr txBox="1"/>
      </xdr:nvSpPr>
      <xdr:spPr>
        <a:xfrm>
          <a:off x="3298125" y="3479963"/>
          <a:ext cx="4095750" cy="600075"/>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Se observa que el costo de oportunidad, con</a:t>
          </a:r>
          <a:r>
            <a:rPr lang="en-US" sz="1100">
              <a:solidFill>
                <a:schemeClr val="dk1"/>
              </a:solidFill>
              <a:latin typeface="Calibri"/>
              <a:ea typeface="Calibri"/>
              <a:cs typeface="Calibri"/>
              <a:sym typeface="Calibri"/>
            </a:rPr>
            <a:t> una menor variación porcentual respecto de los demás componentes, </a:t>
          </a:r>
          <a:r>
            <a:rPr lang="en-US" sz="1100">
              <a:solidFill>
                <a:schemeClr val="dk1"/>
              </a:solidFill>
              <a:latin typeface="Calibri"/>
              <a:ea typeface="Calibri"/>
              <a:cs typeface="Calibri"/>
              <a:sym typeface="Calibri"/>
            </a:rPr>
            <a:t>genera el mismo</a:t>
          </a:r>
          <a:r>
            <a:rPr lang="en-US" sz="1100">
              <a:solidFill>
                <a:schemeClr val="dk1"/>
              </a:solidFill>
              <a:latin typeface="Calibri"/>
              <a:ea typeface="Calibri"/>
              <a:cs typeface="Calibri"/>
              <a:sym typeface="Calibri"/>
            </a:rPr>
            <a:t> impacto en precio.</a:t>
          </a:r>
          <a:endParaRPr sz="1100"/>
        </a:p>
      </xdr:txBody>
    </xdr:sp>
    <xdr:clientData fLocksWithSheet="0"/>
  </xdr:oneCellAnchor>
  <xdr:oneCellAnchor>
    <xdr:from>
      <xdr:col>3</xdr:col>
      <xdr:colOff>0</xdr:colOff>
      <xdr:row>1</xdr:row>
      <xdr:rowOff>0</xdr:rowOff>
    </xdr:from>
    <xdr:ext cx="3600450" cy="438150"/>
    <xdr:sp>
      <xdr:nvSpPr>
        <xdr:cNvPr id="6" name="Shape 6"/>
        <xdr:cNvSpPr txBox="1"/>
      </xdr:nvSpPr>
      <xdr:spPr>
        <a:xfrm>
          <a:off x="3548950" y="3561607"/>
          <a:ext cx="3594100" cy="436786"/>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El precio de la acción, con un dividendo de $1,15, costo de oportunidad</a:t>
          </a:r>
          <a:r>
            <a:rPr lang="en-US" sz="1100">
              <a:solidFill>
                <a:schemeClr val="dk1"/>
              </a:solidFill>
              <a:latin typeface="Calibri"/>
              <a:ea typeface="Calibri"/>
              <a:cs typeface="Calibri"/>
              <a:sym typeface="Calibri"/>
            </a:rPr>
            <a:t> de 13,4% y un crecimiento de 8% es de </a:t>
          </a:r>
          <a:r>
            <a:rPr lang="en-US" sz="1100">
              <a:solidFill>
                <a:srgbClr val="FF0000"/>
              </a:solidFill>
              <a:latin typeface="Calibri"/>
              <a:ea typeface="Calibri"/>
              <a:cs typeface="Calibri"/>
              <a:sym typeface="Calibri"/>
            </a:rPr>
            <a:t>$21,3</a:t>
          </a:r>
          <a:endParaRPr sz="1100">
            <a:solidFill>
              <a:srgbClr val="FF0000"/>
            </a:solidFil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11</xdr:row>
      <xdr:rowOff>38100</xdr:rowOff>
    </xdr:from>
    <xdr:ext cx="5124450" cy="2628900"/>
    <xdr:graphicFrame>
      <xdr:nvGraphicFramePr>
        <xdr:cNvPr id="887282066" name="Chart 3"/>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12</xdr:col>
      <xdr:colOff>247650</xdr:colOff>
      <xdr:row>15</xdr:row>
      <xdr:rowOff>114300</xdr:rowOff>
    </xdr:from>
    <xdr:ext cx="4857750" cy="1133475"/>
    <xdr:sp>
      <xdr:nvSpPr>
        <xdr:cNvPr id="7" name="Shape 7"/>
        <xdr:cNvSpPr txBox="1"/>
      </xdr:nvSpPr>
      <xdr:spPr>
        <a:xfrm>
          <a:off x="2920881" y="3217154"/>
          <a:ext cx="4850239" cy="112569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Si descuenta los 5 primeros periodos, se obtiene</a:t>
          </a:r>
          <a:r>
            <a:rPr lang="en-US" sz="1100">
              <a:solidFill>
                <a:schemeClr val="dk1"/>
              </a:solidFill>
              <a:latin typeface="Calibri"/>
              <a:ea typeface="Calibri"/>
              <a:cs typeface="Calibri"/>
              <a:sym typeface="Calibri"/>
            </a:rPr>
            <a:t> un precio de </a:t>
          </a:r>
          <a:r>
            <a:rPr lang="en-US" sz="1100">
              <a:solidFill>
                <a:srgbClr val="FF0000"/>
              </a:solidFill>
              <a:latin typeface="Calibri"/>
              <a:ea typeface="Calibri"/>
              <a:cs typeface="Calibri"/>
              <a:sym typeface="Calibri"/>
            </a:rPr>
            <a:t>$4,98</a:t>
          </a:r>
          <a:r>
            <a:rPr lang="en-US" sz="1100">
              <a:solidFill>
                <a:srgbClr val="000000"/>
              </a:solidFill>
              <a:latin typeface="Calibri"/>
              <a:ea typeface="Calibri"/>
              <a:cs typeface="Calibri"/>
              <a:sym typeface="Calibri"/>
            </a:rPr>
            <a:t>.</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Debería descontar un número mayor de flujos</a:t>
          </a:r>
          <a:r>
            <a:rPr lang="en-US" sz="1100">
              <a:solidFill>
                <a:srgbClr val="000000"/>
              </a:solidFill>
              <a:latin typeface="Calibri"/>
              <a:ea typeface="Calibri"/>
              <a:cs typeface="Calibri"/>
              <a:sym typeface="Calibri"/>
            </a:rPr>
            <a:t> de dividendos para acercarse</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asintóticamente al precio descontado en infinitos periodos.</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En caso de solo descontar un número bajo y finito de dividendos, está asumiendo</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que no se pagarán dividendos pasado ese periodo. En ese caso, el modelo falla</a:t>
          </a:r>
          <a:endParaRPr sz="1400"/>
        </a:p>
        <a:p>
          <a:pPr indent="0" lvl="0" marL="0" rtl="0" algn="l">
            <a:spcBef>
              <a:spcPts val="0"/>
            </a:spcBef>
            <a:spcAft>
              <a:spcPts val="0"/>
            </a:spcAft>
            <a:buNone/>
          </a:pPr>
          <a:r>
            <a:rPr lang="en-US" sz="1100">
              <a:solidFill>
                <a:srgbClr val="000000"/>
              </a:solidFill>
              <a:latin typeface="Calibri"/>
              <a:ea typeface="Calibri"/>
              <a:cs typeface="Calibri"/>
              <a:sym typeface="Calibri"/>
            </a:rPr>
            <a:t>en valuar el precio, dado que asume que la empresa siempre paga dividendos.</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647700</xdr:colOff>
      <xdr:row>1</xdr:row>
      <xdr:rowOff>38100</xdr:rowOff>
    </xdr:from>
    <xdr:ext cx="4419600" cy="790575"/>
    <xdr:sp>
      <xdr:nvSpPr>
        <xdr:cNvPr id="8" name="Shape 8"/>
        <xdr:cNvSpPr txBox="1"/>
      </xdr:nvSpPr>
      <xdr:spPr>
        <a:xfrm>
          <a:off x="3138024" y="3389380"/>
          <a:ext cx="4415952" cy="78124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El costo</a:t>
          </a:r>
          <a:r>
            <a:rPr lang="en-US" sz="1100">
              <a:solidFill>
                <a:schemeClr val="dk1"/>
              </a:solidFill>
              <a:latin typeface="Calibri"/>
              <a:ea typeface="Calibri"/>
              <a:cs typeface="Calibri"/>
              <a:sym typeface="Calibri"/>
            </a:rPr>
            <a:t> de oportunidad se calcula a través de r = D1 / P0 + g</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El precio a final del periodo se obtiene despejando r = ((P1 - P0) + D1 )/ P0</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Capital gain es la variación del precio de la acción</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Dividend yield es el incremento de los dividendos respecto del precio</a:t>
          </a:r>
          <a:endParaRPr sz="11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247650</xdr:colOff>
      <xdr:row>4</xdr:row>
      <xdr:rowOff>95250</xdr:rowOff>
    </xdr:from>
    <xdr:ext cx="3457575" cy="1133475"/>
    <xdr:sp>
      <xdr:nvSpPr>
        <xdr:cNvPr id="9" name="Shape 9"/>
        <xdr:cNvSpPr txBox="1"/>
      </xdr:nvSpPr>
      <xdr:spPr>
        <a:xfrm>
          <a:off x="3619598" y="3217154"/>
          <a:ext cx="3452805" cy="112569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Se descuenta los 3 primeros periodos</a:t>
          </a:r>
          <a:r>
            <a:rPr lang="en-US" sz="1100">
              <a:solidFill>
                <a:schemeClr val="dk1"/>
              </a:solidFill>
              <a:latin typeface="Calibri"/>
              <a:ea typeface="Calibri"/>
              <a:cs typeface="Calibri"/>
              <a:sym typeface="Calibri"/>
            </a:rPr>
            <a:t> con un g=30%.</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El cuarto dividendo crece al 8%.</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Desde el periodo 4 hasta el infinito, se calcula el valor</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presente de los flujos de dividendos (que crecen al 8%)</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tomando como base el valor del dividendo del periodo 3.</a:t>
          </a:r>
          <a:endParaRPr sz="1400"/>
        </a:p>
        <a:p>
          <a:pPr indent="0" lvl="0" marL="0" rtl="0" algn="l">
            <a:spcBef>
              <a:spcPts val="0"/>
            </a:spcBef>
            <a:spcAft>
              <a:spcPts val="0"/>
            </a:spcAft>
            <a:buNone/>
          </a:pPr>
          <a:r>
            <a:t/>
          </a:r>
          <a:endParaRPr sz="11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257175</xdr:colOff>
      <xdr:row>1</xdr:row>
      <xdr:rowOff>0</xdr:rowOff>
    </xdr:from>
    <xdr:ext cx="3009900" cy="609600"/>
    <xdr:sp>
      <xdr:nvSpPr>
        <xdr:cNvPr id="10" name="Shape 10"/>
        <xdr:cNvSpPr txBox="1"/>
      </xdr:nvSpPr>
      <xdr:spPr>
        <a:xfrm>
          <a:off x="3844018" y="3475494"/>
          <a:ext cx="3003964" cy="6090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No indica que los dividendos tengan crecimiento.</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Solo descuento por el costo de oportunidad.</a:t>
          </a:r>
          <a:endParaRPr sz="1400"/>
        </a:p>
        <a:p>
          <a:pPr indent="0" lvl="0" marL="0" rtl="0" algn="l">
            <a:spcBef>
              <a:spcPts val="0"/>
            </a:spcBef>
            <a:spcAft>
              <a:spcPts val="0"/>
            </a:spcAft>
            <a:buNone/>
          </a:pPr>
          <a:r>
            <a:t/>
          </a:r>
          <a:endParaRPr sz="11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266700</xdr:colOff>
      <xdr:row>1</xdr:row>
      <xdr:rowOff>38100</xdr:rowOff>
    </xdr:from>
    <xdr:ext cx="5829300" cy="609600"/>
    <xdr:sp>
      <xdr:nvSpPr>
        <xdr:cNvPr id="11" name="Shape 11"/>
        <xdr:cNvSpPr txBox="1"/>
      </xdr:nvSpPr>
      <xdr:spPr>
        <a:xfrm>
          <a:off x="2435524" y="3475494"/>
          <a:ext cx="5820952" cy="6090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Dado que el rendimiento del bono es igual que el costo de oportunidad, su valor presente, es igual</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a su valor nominal.</a:t>
          </a:r>
          <a:endParaRPr sz="1400"/>
        </a:p>
        <a:p>
          <a:pPr indent="0" lvl="0" marL="0" rtl="0" algn="l">
            <a:spcBef>
              <a:spcPts val="0"/>
            </a:spcBef>
            <a:spcAft>
              <a:spcPts val="0"/>
            </a:spcAft>
            <a:buNone/>
          </a:pPr>
          <a:r>
            <a:t/>
          </a:r>
          <a:endParaRPr sz="11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28575</xdr:colOff>
      <xdr:row>1</xdr:row>
      <xdr:rowOff>133350</xdr:rowOff>
    </xdr:from>
    <xdr:ext cx="2647950" cy="790575"/>
    <xdr:sp>
      <xdr:nvSpPr>
        <xdr:cNvPr id="12" name="Shape 12"/>
        <xdr:cNvSpPr txBox="1"/>
      </xdr:nvSpPr>
      <xdr:spPr>
        <a:xfrm>
          <a:off x="4022561" y="3389380"/>
          <a:ext cx="2646878" cy="78124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Se asume que r = 10% del periodo 1 al 5.</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Se asume que r = 15% del periodo 6 al 10.</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Se asume que r = 5% del periodo 11 al 15.</a:t>
          </a:r>
          <a:endParaRPr sz="1100"/>
        </a:p>
        <a:p>
          <a:pPr indent="0" lvl="0" marL="0" rtl="0" algn="l">
            <a:spcBef>
              <a:spcPts val="0"/>
            </a:spcBef>
            <a:spcAft>
              <a:spcPts val="0"/>
            </a:spcAft>
            <a:buNone/>
          </a:pPr>
          <a:r>
            <a:t/>
          </a:r>
          <a:endParaRPr sz="1100"/>
        </a:p>
      </xdr:txBody>
    </xdr:sp>
    <xdr:clientData fLocksWithSheet="0"/>
  </xdr:oneCellAnchor>
  <xdr:oneCellAnchor>
    <xdr:from>
      <xdr:col>10</xdr:col>
      <xdr:colOff>247650</xdr:colOff>
      <xdr:row>2</xdr:row>
      <xdr:rowOff>76200</xdr:rowOff>
    </xdr:from>
    <xdr:ext cx="2514600" cy="609600"/>
    <xdr:sp>
      <xdr:nvSpPr>
        <xdr:cNvPr id="13" name="Shape 13"/>
        <xdr:cNvSpPr txBox="1"/>
      </xdr:nvSpPr>
      <xdr:spPr>
        <a:xfrm>
          <a:off x="4089919" y="3475494"/>
          <a:ext cx="2512163" cy="60901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chemeClr val="dk1"/>
              </a:solidFill>
              <a:latin typeface="Calibri"/>
              <a:ea typeface="Calibri"/>
              <a:cs typeface="Calibri"/>
              <a:sym typeface="Calibri"/>
            </a:rPr>
            <a:t>El precio del bono termina siendo mayor</a:t>
          </a:r>
          <a:endParaRPr sz="1400"/>
        </a:p>
        <a:p>
          <a:pPr indent="0" lvl="0" marL="0" rtl="0" algn="l">
            <a:spcBef>
              <a:spcPts val="0"/>
            </a:spcBef>
            <a:spcAft>
              <a:spcPts val="0"/>
            </a:spcAft>
            <a:buNone/>
          </a:pPr>
          <a:r>
            <a:rPr lang="en-US" sz="1100">
              <a:solidFill>
                <a:schemeClr val="dk1"/>
              </a:solidFill>
              <a:latin typeface="Calibri"/>
              <a:ea typeface="Calibri"/>
              <a:cs typeface="Calibri"/>
              <a:sym typeface="Calibri"/>
            </a:rPr>
            <a:t>que su valor nominal.</a:t>
          </a:r>
          <a:endParaRPr sz="1400"/>
        </a:p>
        <a:p>
          <a:pPr indent="0" lvl="0" marL="0" rtl="0" algn="l">
            <a:spcBef>
              <a:spcPts val="0"/>
            </a:spcBef>
            <a:spcAft>
              <a:spcPts val="0"/>
            </a:spcAft>
            <a:buNone/>
          </a:pPr>
          <a:r>
            <a:t/>
          </a:r>
          <a:endParaRPr sz="11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11</xdr:row>
      <xdr:rowOff>9525</xdr:rowOff>
    </xdr:from>
    <xdr:ext cx="7439025" cy="1647825"/>
    <xdr:sp>
      <xdr:nvSpPr>
        <xdr:cNvPr id="14" name="Shape 14"/>
        <xdr:cNvSpPr txBox="1"/>
      </xdr:nvSpPr>
      <xdr:spPr>
        <a:xfrm>
          <a:off x="1628252" y="2958814"/>
          <a:ext cx="7435497" cy="1642373"/>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rPr b="0" i="0" lang="en-US" sz="1100">
              <a:solidFill>
                <a:schemeClr val="dk1"/>
              </a:solidFill>
              <a:latin typeface="Calibri"/>
              <a:ea typeface="Calibri"/>
              <a:cs typeface="Calibri"/>
              <a:sym typeface="Calibri"/>
            </a:rPr>
            <a:t>La duration de un bono es una medida de sensibilidad del precio del bono ante cambios en las tasas de interés del mercado.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Es una medida del tiempo promedio que tarda un inversor en recuperar el valor presente de los flujos de efectivo de un bono, </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incluyendo el pago de cupones y el valor nominal al vencimiento.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La duration se expresa en años y se calcula como una combinación ponderada de los plazos de los flujos de efectivo del bono,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utilizando como pesos los valores presentes de cada flujo de efectivo.</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A mayor duration,</a:t>
          </a:r>
          <a:r>
            <a:rPr b="0" i="0" lang="en-US" sz="1100">
              <a:solidFill>
                <a:schemeClr val="dk1"/>
              </a:solidFill>
              <a:latin typeface="Calibri"/>
              <a:ea typeface="Calibri"/>
              <a:cs typeface="Calibri"/>
              <a:sym typeface="Calibri"/>
            </a:rPr>
            <a:t> mayor es la sensibilidad del precio a cambios en la tasas de interés.</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En el ejercicio se observa que el bono 2 al devolver capital en cada periodo, tiene menor duration. Esto significa que el plazo </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para recuperar el valor presente de los flujos, es menor. A su vez, se precio es menos sensible a variaciones de la tasa en</a:t>
          </a:r>
          <a:endParaRPr sz="1400"/>
        </a:p>
        <a:p>
          <a:pPr indent="0" lvl="0" marL="0" rtl="0" algn="l">
            <a:spcBef>
              <a:spcPts val="0"/>
            </a:spcBef>
            <a:spcAft>
              <a:spcPts val="0"/>
            </a:spcAft>
            <a:buNone/>
          </a:pPr>
          <a:r>
            <a:rPr b="0" i="0" lang="en-US" sz="1100">
              <a:solidFill>
                <a:schemeClr val="dk1"/>
              </a:solidFill>
              <a:latin typeface="Calibri"/>
              <a:ea typeface="Calibri"/>
              <a:cs typeface="Calibri"/>
              <a:sym typeface="Calibri"/>
            </a:rPr>
            <a:t>comparación con el bono 1.</a:t>
          </a:r>
          <a:endParaRPr sz="1100"/>
        </a:p>
      </xdr:txBody>
    </xdr:sp>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0" customHeight="1">
      <c r="A1" s="1" t="s">
        <v>0</v>
      </c>
    </row>
    <row r="2" ht="12.0" customHeight="1"/>
    <row r="3" ht="12.0" customHeight="1"/>
    <row r="4" ht="12.0" customHeight="1">
      <c r="A4" s="2"/>
      <c r="B4" s="3" t="s">
        <v>1</v>
      </c>
      <c r="L4" s="2"/>
    </row>
    <row r="5" ht="12.0" customHeight="1">
      <c r="A5" s="2"/>
      <c r="B5" s="3"/>
      <c r="C5" s="3"/>
      <c r="D5" s="3"/>
      <c r="E5" s="3"/>
      <c r="F5" s="3"/>
      <c r="G5" s="3"/>
      <c r="H5" s="3"/>
      <c r="I5" s="3"/>
      <c r="J5" s="3"/>
      <c r="K5" s="3"/>
      <c r="L5" s="2"/>
    </row>
    <row r="6" ht="12.0" customHeight="1">
      <c r="A6" s="2">
        <v>1.0</v>
      </c>
      <c r="B6" s="4"/>
      <c r="C6" s="4"/>
      <c r="D6" s="4"/>
      <c r="E6" s="4"/>
      <c r="F6" s="4"/>
      <c r="G6" s="4"/>
      <c r="H6" s="4"/>
      <c r="I6" s="4"/>
      <c r="J6" s="4"/>
      <c r="K6" s="4"/>
      <c r="L6" s="4"/>
    </row>
    <row r="7" ht="12.0" customHeight="1">
      <c r="A7" s="2"/>
      <c r="B7" s="5" t="s">
        <v>2</v>
      </c>
      <c r="K7" s="2"/>
      <c r="L7" s="2"/>
    </row>
    <row r="8" ht="12.0" customHeight="1">
      <c r="A8" s="2"/>
      <c r="B8" s="6" t="s">
        <v>3</v>
      </c>
      <c r="C8" s="2"/>
      <c r="D8" s="2"/>
      <c r="E8" s="2"/>
      <c r="F8" s="2"/>
      <c r="G8" s="2"/>
      <c r="H8" s="2"/>
      <c r="I8" s="2"/>
      <c r="J8" s="2"/>
      <c r="K8" s="2"/>
      <c r="L8" s="2"/>
    </row>
    <row r="9" ht="12.0" customHeight="1">
      <c r="A9" s="2"/>
      <c r="B9" s="6" t="s">
        <v>4</v>
      </c>
      <c r="C9" s="2"/>
      <c r="D9" s="2"/>
      <c r="E9" s="2"/>
      <c r="F9" s="2"/>
      <c r="G9" s="2"/>
      <c r="H9" s="2"/>
      <c r="I9" s="2"/>
      <c r="J9" s="2"/>
      <c r="K9" s="2"/>
      <c r="L9" s="2"/>
    </row>
    <row r="10" ht="12.0" customHeight="1">
      <c r="A10" s="2"/>
      <c r="B10" s="7" t="s">
        <v>5</v>
      </c>
      <c r="C10" s="2"/>
      <c r="D10" s="2"/>
      <c r="E10" s="2"/>
      <c r="F10" s="2"/>
      <c r="G10" s="2"/>
      <c r="H10" s="2"/>
      <c r="I10" s="2"/>
      <c r="J10" s="2"/>
      <c r="K10" s="2"/>
      <c r="L10" s="2"/>
    </row>
    <row r="11" ht="12.0" customHeight="1">
      <c r="A11" s="2">
        <v>2.0</v>
      </c>
      <c r="B11" s="4"/>
      <c r="C11" s="4"/>
      <c r="D11" s="4"/>
      <c r="E11" s="4"/>
      <c r="F11" s="4"/>
      <c r="G11" s="4"/>
      <c r="H11" s="4"/>
      <c r="I11" s="4"/>
      <c r="J11" s="4"/>
      <c r="K11" s="4"/>
      <c r="L11" s="4"/>
    </row>
    <row r="12" ht="12.0" customHeight="1">
      <c r="A12" s="2"/>
      <c r="B12" s="7" t="s">
        <v>6</v>
      </c>
      <c r="C12" s="2"/>
      <c r="D12" s="2"/>
      <c r="E12" s="2"/>
      <c r="F12" s="2"/>
      <c r="G12" s="2"/>
      <c r="H12" s="2"/>
      <c r="I12" s="2"/>
      <c r="J12" s="2"/>
      <c r="K12" s="2"/>
      <c r="L12" s="2"/>
    </row>
    <row r="13" ht="12.0" customHeight="1">
      <c r="A13" s="2"/>
      <c r="B13" s="7" t="s">
        <v>7</v>
      </c>
      <c r="C13" s="2"/>
      <c r="D13" s="2"/>
      <c r="E13" s="2"/>
      <c r="F13" s="2"/>
      <c r="G13" s="2"/>
      <c r="H13" s="2"/>
      <c r="I13" s="2"/>
      <c r="J13" s="2"/>
      <c r="K13" s="2"/>
      <c r="L13" s="2"/>
    </row>
    <row r="14" ht="12.0" customHeight="1">
      <c r="A14" s="2">
        <v>3.0</v>
      </c>
      <c r="B14" s="8"/>
      <c r="C14" s="4"/>
      <c r="D14" s="4"/>
      <c r="E14" s="4"/>
      <c r="F14" s="4"/>
      <c r="G14" s="4"/>
      <c r="H14" s="4"/>
      <c r="I14" s="4"/>
      <c r="J14" s="4"/>
      <c r="K14" s="4"/>
      <c r="L14" s="4"/>
    </row>
    <row r="15" ht="12.0" customHeight="1">
      <c r="A15" s="2"/>
      <c r="B15" s="7" t="s">
        <v>8</v>
      </c>
      <c r="C15" s="2"/>
      <c r="D15" s="2"/>
      <c r="E15" s="2"/>
      <c r="F15" s="2"/>
      <c r="G15" s="2"/>
      <c r="H15" s="2"/>
      <c r="I15" s="2"/>
      <c r="J15" s="2"/>
      <c r="K15" s="2"/>
      <c r="L15" s="2"/>
    </row>
    <row r="16" ht="12.0" customHeight="1">
      <c r="A16" s="2"/>
      <c r="B16" s="9" t="s">
        <v>9</v>
      </c>
      <c r="C16" s="10"/>
      <c r="D16" s="11"/>
      <c r="E16" s="11"/>
      <c r="F16" s="2"/>
      <c r="G16" s="2"/>
      <c r="H16" s="2"/>
      <c r="I16" s="2"/>
      <c r="J16" s="2"/>
      <c r="K16" s="2"/>
      <c r="L16" s="2"/>
    </row>
    <row r="17" ht="12.0" customHeight="1">
      <c r="A17" s="2">
        <v>4.0</v>
      </c>
      <c r="B17" s="12"/>
      <c r="C17" s="13"/>
      <c r="D17" s="14"/>
      <c r="E17" s="14"/>
      <c r="F17" s="4"/>
      <c r="G17" s="4"/>
      <c r="H17" s="4"/>
      <c r="I17" s="4"/>
      <c r="J17" s="4"/>
      <c r="K17" s="4"/>
      <c r="L17" s="4"/>
    </row>
    <row r="18" ht="12.0" customHeight="1">
      <c r="A18" s="2"/>
      <c r="B18" s="9" t="s">
        <v>10</v>
      </c>
      <c r="C18" s="10"/>
      <c r="D18" s="11"/>
      <c r="E18" s="11"/>
      <c r="F18" s="2"/>
      <c r="G18" s="2"/>
      <c r="H18" s="2"/>
      <c r="I18" s="2"/>
      <c r="J18" s="2"/>
      <c r="K18" s="2"/>
      <c r="L18" s="2"/>
    </row>
    <row r="19" ht="12.0" customHeight="1">
      <c r="A19" s="2"/>
      <c r="B19" s="9" t="s">
        <v>11</v>
      </c>
      <c r="C19" s="10"/>
      <c r="D19" s="11"/>
      <c r="E19" s="11"/>
      <c r="F19" s="2"/>
      <c r="G19" s="2"/>
      <c r="H19" s="2"/>
      <c r="I19" s="2"/>
      <c r="J19" s="2"/>
      <c r="K19" s="2"/>
      <c r="L19" s="2"/>
    </row>
    <row r="20" ht="12.0" customHeight="1">
      <c r="A20" s="2">
        <v>5.0</v>
      </c>
      <c r="B20" s="12"/>
      <c r="C20" s="13"/>
      <c r="D20" s="14"/>
      <c r="E20" s="14"/>
      <c r="F20" s="4"/>
      <c r="G20" s="4"/>
      <c r="H20" s="4"/>
      <c r="I20" s="4"/>
      <c r="J20" s="4"/>
      <c r="K20" s="4"/>
      <c r="L20" s="4"/>
    </row>
    <row r="21" ht="12.0" customHeight="1">
      <c r="A21" s="2"/>
      <c r="B21" s="9" t="s">
        <v>12</v>
      </c>
      <c r="C21" s="10"/>
      <c r="D21" s="11"/>
      <c r="E21" s="11"/>
      <c r="F21" s="2"/>
      <c r="G21" s="2"/>
      <c r="H21" s="2"/>
      <c r="I21" s="2"/>
      <c r="J21" s="2"/>
      <c r="K21" s="2"/>
      <c r="L21" s="2"/>
    </row>
    <row r="22" ht="12.0" customHeight="1">
      <c r="A22" s="2"/>
      <c r="B22" s="9" t="s">
        <v>13</v>
      </c>
      <c r="C22" s="10"/>
      <c r="D22" s="11"/>
      <c r="E22" s="11"/>
      <c r="F22" s="2"/>
      <c r="G22" s="2"/>
      <c r="H22" s="2"/>
      <c r="I22" s="2"/>
      <c r="J22" s="2"/>
      <c r="K22" s="2"/>
      <c r="L22" s="2"/>
    </row>
    <row r="23" ht="12.0" customHeight="1">
      <c r="A23" s="2"/>
      <c r="B23" s="9" t="s">
        <v>14</v>
      </c>
      <c r="C23" s="10"/>
      <c r="D23" s="11"/>
      <c r="E23" s="11"/>
      <c r="F23" s="2"/>
      <c r="G23" s="2"/>
      <c r="H23" s="2"/>
      <c r="I23" s="2"/>
      <c r="J23" s="2"/>
      <c r="K23" s="2"/>
      <c r="L23" s="2"/>
    </row>
    <row r="24" ht="12.0" customHeight="1">
      <c r="A24" s="2"/>
      <c r="B24" s="9" t="s">
        <v>15</v>
      </c>
      <c r="C24" s="10"/>
      <c r="D24" s="11"/>
      <c r="E24" s="11"/>
      <c r="F24" s="2"/>
      <c r="G24" s="2"/>
      <c r="H24" s="2"/>
      <c r="I24" s="2"/>
      <c r="J24" s="2"/>
      <c r="K24" s="2"/>
      <c r="L24" s="2"/>
    </row>
    <row r="25" ht="12.0" customHeight="1">
      <c r="A25" s="2"/>
      <c r="B25" s="9" t="s">
        <v>16</v>
      </c>
      <c r="C25" s="10"/>
      <c r="D25" s="11"/>
      <c r="E25" s="11"/>
      <c r="F25" s="2"/>
      <c r="G25" s="2"/>
      <c r="H25" s="2"/>
      <c r="I25" s="2"/>
      <c r="J25" s="2"/>
      <c r="K25" s="2"/>
      <c r="L25" s="2"/>
    </row>
    <row r="26" ht="12.0" customHeight="1">
      <c r="A26" s="2"/>
      <c r="B26" s="9" t="s">
        <v>17</v>
      </c>
      <c r="C26" s="10"/>
      <c r="D26" s="11"/>
      <c r="E26" s="11"/>
      <c r="F26" s="2"/>
      <c r="G26" s="2"/>
      <c r="H26" s="2"/>
      <c r="I26" s="2"/>
      <c r="J26" s="2"/>
      <c r="K26" s="2"/>
      <c r="L26" s="2"/>
    </row>
    <row r="27" ht="12.0" customHeight="1">
      <c r="A27" s="2">
        <v>6.0</v>
      </c>
      <c r="B27" s="12"/>
      <c r="C27" s="13"/>
      <c r="D27" s="14"/>
      <c r="E27" s="14"/>
      <c r="F27" s="4"/>
      <c r="G27" s="4"/>
      <c r="H27" s="4"/>
      <c r="I27" s="4"/>
      <c r="J27" s="4"/>
      <c r="K27" s="4"/>
      <c r="L27" s="4"/>
    </row>
    <row r="28" ht="12.0" customHeight="1">
      <c r="A28" s="2"/>
      <c r="B28" s="9" t="s">
        <v>18</v>
      </c>
      <c r="C28" s="10"/>
      <c r="D28" s="11"/>
      <c r="E28" s="11"/>
      <c r="F28" s="2"/>
      <c r="G28" s="2"/>
      <c r="H28" s="2"/>
      <c r="I28" s="2"/>
      <c r="J28" s="2"/>
      <c r="K28" s="2"/>
      <c r="L28" s="2"/>
    </row>
    <row r="29" ht="12.0" customHeight="1">
      <c r="A29" s="2"/>
      <c r="B29" s="9" t="s">
        <v>19</v>
      </c>
      <c r="C29" s="10"/>
      <c r="D29" s="11"/>
      <c r="E29" s="11"/>
      <c r="F29" s="2"/>
      <c r="G29" s="2"/>
      <c r="H29" s="2"/>
      <c r="I29" s="2"/>
      <c r="J29" s="2"/>
      <c r="K29" s="2"/>
      <c r="L29" s="2"/>
    </row>
    <row r="30" ht="12.0" customHeight="1">
      <c r="A30" s="2"/>
      <c r="B30" s="14" t="s">
        <v>20</v>
      </c>
      <c r="C30" s="15"/>
      <c r="D30" s="4"/>
      <c r="E30" s="4"/>
      <c r="F30" s="4"/>
      <c r="G30" s="4"/>
      <c r="H30" s="4"/>
      <c r="I30" s="4"/>
      <c r="J30" s="4"/>
      <c r="K30" s="4"/>
      <c r="L30" s="4"/>
    </row>
    <row r="31" ht="12.0" customHeight="1">
      <c r="A31" s="2"/>
      <c r="B31" s="16"/>
      <c r="C31" s="2"/>
      <c r="D31" s="2"/>
      <c r="E31" s="2"/>
      <c r="F31" s="2"/>
      <c r="G31" s="2"/>
      <c r="H31" s="2"/>
      <c r="I31" s="2"/>
      <c r="J31" s="2"/>
      <c r="K31" s="2"/>
      <c r="L31" s="2"/>
    </row>
    <row r="32" ht="12.0" customHeight="1">
      <c r="A32" s="2"/>
      <c r="B32" s="3" t="s">
        <v>21</v>
      </c>
      <c r="L32" s="2"/>
    </row>
    <row r="33" ht="12.0" customHeight="1">
      <c r="A33" s="2">
        <v>7.0</v>
      </c>
      <c r="B33" s="17"/>
      <c r="C33" s="4"/>
      <c r="D33" s="4"/>
      <c r="E33" s="18"/>
      <c r="F33" s="19"/>
      <c r="G33" s="4"/>
      <c r="H33" s="4"/>
      <c r="I33" s="4"/>
      <c r="J33" s="4"/>
      <c r="K33" s="4"/>
      <c r="L33" s="4"/>
    </row>
    <row r="34" ht="12.0" customHeight="1">
      <c r="A34" s="2"/>
      <c r="B34" s="20" t="s">
        <v>22</v>
      </c>
      <c r="C34" s="21"/>
      <c r="D34" s="21"/>
      <c r="E34" s="21"/>
      <c r="F34" s="21"/>
      <c r="G34" s="21"/>
      <c r="H34" s="21"/>
      <c r="I34" s="21"/>
      <c r="J34" s="21"/>
      <c r="K34" s="21"/>
      <c r="L34" s="21"/>
    </row>
    <row r="35" ht="12.0" customHeight="1">
      <c r="A35" s="2"/>
      <c r="B35" s="21" t="s">
        <v>23</v>
      </c>
      <c r="C35" s="21"/>
      <c r="D35" s="21"/>
      <c r="E35" s="21"/>
      <c r="F35" s="21"/>
      <c r="G35" s="21"/>
      <c r="H35" s="21"/>
      <c r="I35" s="21"/>
      <c r="J35" s="21"/>
      <c r="K35" s="21"/>
      <c r="L35" s="21"/>
    </row>
    <row r="36" ht="12.0" customHeight="1">
      <c r="A36" s="2">
        <v>8.0</v>
      </c>
      <c r="B36" s="4"/>
      <c r="C36" s="4"/>
      <c r="D36" s="4"/>
      <c r="E36" s="4"/>
      <c r="F36" s="4"/>
      <c r="G36" s="4"/>
      <c r="H36" s="4"/>
      <c r="I36" s="4"/>
      <c r="J36" s="4"/>
      <c r="K36" s="4"/>
      <c r="L36" s="4"/>
    </row>
    <row r="37" ht="12.0" customHeight="1">
      <c r="A37" s="2"/>
      <c r="B37" s="21" t="s">
        <v>24</v>
      </c>
      <c r="C37" s="21"/>
      <c r="D37" s="21"/>
      <c r="E37" s="21"/>
      <c r="F37" s="21"/>
      <c r="G37" s="21"/>
      <c r="H37" s="21"/>
      <c r="I37" s="21"/>
      <c r="J37" s="21"/>
      <c r="K37" s="21"/>
      <c r="L37" s="21"/>
    </row>
    <row r="38" ht="12.0" customHeight="1">
      <c r="A38" s="2">
        <v>9.0</v>
      </c>
      <c r="B38" s="4"/>
      <c r="C38" s="4"/>
      <c r="D38" s="4"/>
      <c r="E38" s="4"/>
      <c r="F38" s="4"/>
      <c r="G38" s="4"/>
      <c r="H38" s="4"/>
      <c r="I38" s="4"/>
      <c r="J38" s="4"/>
      <c r="K38" s="4"/>
      <c r="L38" s="4"/>
    </row>
    <row r="39" ht="12.0" customHeight="1">
      <c r="A39" s="2"/>
      <c r="B39" s="2" t="s">
        <v>25</v>
      </c>
      <c r="C39" s="2"/>
      <c r="D39" s="2"/>
      <c r="E39" s="2"/>
      <c r="F39" s="2"/>
      <c r="G39" s="2"/>
      <c r="H39" s="2"/>
      <c r="I39" s="2"/>
      <c r="J39" s="2"/>
      <c r="K39" s="2"/>
      <c r="L39" s="2"/>
    </row>
    <row r="40" ht="12.0" customHeight="1">
      <c r="A40" s="2"/>
      <c r="B40" s="2" t="s">
        <v>26</v>
      </c>
      <c r="C40" s="2"/>
      <c r="D40" s="2"/>
      <c r="E40" s="2"/>
      <c r="F40" s="2"/>
      <c r="G40" s="2"/>
      <c r="H40" s="2"/>
      <c r="I40" s="2"/>
      <c r="J40" s="2"/>
      <c r="K40" s="2"/>
      <c r="L40" s="2"/>
    </row>
    <row r="41" ht="12.0" customHeight="1">
      <c r="A41" s="2"/>
      <c r="B41" s="2" t="s">
        <v>27</v>
      </c>
      <c r="C41" s="2"/>
      <c r="D41" s="2"/>
      <c r="E41" s="2"/>
      <c r="F41" s="2"/>
      <c r="G41" s="2"/>
      <c r="H41" s="2"/>
      <c r="I41" s="2"/>
      <c r="J41" s="2"/>
      <c r="K41" s="2"/>
      <c r="L41" s="2"/>
    </row>
    <row r="42" ht="12.0" customHeight="1">
      <c r="A42" s="2"/>
      <c r="B42" s="2" t="s">
        <v>28</v>
      </c>
      <c r="C42" s="2"/>
      <c r="D42" s="2"/>
      <c r="E42" s="2"/>
      <c r="F42" s="2"/>
      <c r="G42" s="2"/>
      <c r="H42" s="2"/>
      <c r="I42" s="2"/>
      <c r="J42" s="2"/>
      <c r="K42" s="2"/>
      <c r="L42" s="2"/>
    </row>
    <row r="43" ht="12.0" customHeight="1">
      <c r="A43" s="2">
        <v>10.0</v>
      </c>
      <c r="B43" s="4"/>
      <c r="C43" s="4"/>
      <c r="D43" s="4"/>
      <c r="E43" s="4"/>
      <c r="F43" s="4"/>
      <c r="G43" s="4"/>
      <c r="H43" s="4"/>
      <c r="I43" s="4"/>
      <c r="J43" s="4"/>
      <c r="K43" s="4"/>
      <c r="L43" s="4"/>
    </row>
    <row r="44" ht="12.0" customHeight="1">
      <c r="A44" s="2"/>
      <c r="B44" s="2" t="s">
        <v>29</v>
      </c>
      <c r="C44" s="2"/>
      <c r="D44" s="2"/>
      <c r="E44" s="2"/>
      <c r="F44" s="2"/>
      <c r="G44" s="2"/>
      <c r="H44" s="2"/>
      <c r="I44" s="2"/>
      <c r="J44" s="2"/>
      <c r="K44" s="2"/>
      <c r="L44" s="2"/>
    </row>
    <row r="45" ht="12.0" customHeight="1">
      <c r="A45" s="2"/>
      <c r="B45" s="2"/>
      <c r="C45" s="2"/>
      <c r="D45" s="2">
        <v>1.0</v>
      </c>
      <c r="E45" s="2">
        <v>2.0</v>
      </c>
      <c r="F45" s="2">
        <v>3.0</v>
      </c>
      <c r="G45" s="2"/>
      <c r="H45" s="2"/>
      <c r="I45" s="2"/>
      <c r="J45" s="2"/>
      <c r="K45" s="2"/>
      <c r="L45" s="2"/>
    </row>
    <row r="46" ht="12.0" customHeight="1">
      <c r="A46" s="2"/>
      <c r="B46" s="2" t="s">
        <v>30</v>
      </c>
      <c r="C46" s="2"/>
      <c r="D46" s="2">
        <v>50.0</v>
      </c>
      <c r="E46" s="2">
        <v>50.0</v>
      </c>
      <c r="F46" s="2">
        <v>50.0</v>
      </c>
      <c r="G46" s="2"/>
      <c r="H46" s="2" t="s">
        <v>31</v>
      </c>
      <c r="I46" s="2"/>
      <c r="J46" s="2"/>
      <c r="K46" s="2"/>
      <c r="L46" s="2"/>
    </row>
    <row r="47" ht="12.0" customHeight="1">
      <c r="A47" s="2"/>
      <c r="B47" s="2"/>
      <c r="C47" s="2"/>
      <c r="D47" s="2">
        <v>0.0</v>
      </c>
      <c r="E47" s="2">
        <v>0.0</v>
      </c>
      <c r="F47" s="2">
        <v>1000.0</v>
      </c>
      <c r="G47" s="2"/>
      <c r="H47" s="2" t="s">
        <v>32</v>
      </c>
      <c r="I47" s="2"/>
      <c r="J47" s="2"/>
      <c r="K47" s="2"/>
      <c r="L47" s="2"/>
    </row>
    <row r="48" ht="12.0" customHeight="1">
      <c r="A48" s="2"/>
      <c r="B48" s="2"/>
      <c r="C48" s="2"/>
      <c r="D48" s="2"/>
      <c r="E48" s="2"/>
      <c r="F48" s="2"/>
      <c r="G48" s="2"/>
      <c r="H48" s="2"/>
      <c r="I48" s="2"/>
      <c r="J48" s="2"/>
      <c r="K48" s="2"/>
      <c r="L48" s="2"/>
    </row>
    <row r="49" ht="12.0" customHeight="1">
      <c r="A49" s="2"/>
      <c r="B49" s="2" t="s">
        <v>33</v>
      </c>
      <c r="C49" s="2"/>
      <c r="D49" s="2">
        <v>50.0</v>
      </c>
      <c r="E49" s="22">
        <f>0.05*666.666</f>
        <v>33.3333</v>
      </c>
      <c r="F49" s="22">
        <f>0.05*333.3333</f>
        <v>16.666665</v>
      </c>
      <c r="G49" s="2"/>
      <c r="H49" s="2" t="s">
        <v>31</v>
      </c>
      <c r="I49" s="2"/>
      <c r="J49" s="2"/>
      <c r="K49" s="2"/>
      <c r="L49" s="2"/>
    </row>
    <row r="50" ht="12.0" customHeight="1">
      <c r="A50" s="2"/>
      <c r="B50" s="2"/>
      <c r="C50" s="2"/>
      <c r="D50" s="22">
        <v>333.333</v>
      </c>
      <c r="E50" s="22">
        <v>333.333</v>
      </c>
      <c r="F50" s="22">
        <v>333.333</v>
      </c>
      <c r="G50" s="2"/>
      <c r="H50" s="2" t="s">
        <v>32</v>
      </c>
      <c r="I50" s="2"/>
      <c r="J50" s="2"/>
      <c r="K50" s="2"/>
      <c r="L50" s="2"/>
    </row>
    <row r="51" ht="12.0" customHeight="1">
      <c r="A51" s="2"/>
      <c r="B51" s="2" t="s">
        <v>34</v>
      </c>
      <c r="C51" s="2"/>
      <c r="D51" s="2"/>
      <c r="E51" s="2"/>
      <c r="F51" s="2"/>
      <c r="G51" s="2"/>
      <c r="H51" s="2"/>
      <c r="I51" s="2"/>
      <c r="J51" s="2"/>
      <c r="K51" s="2"/>
      <c r="L51" s="2"/>
    </row>
    <row r="52" ht="12.0" customHeight="1">
      <c r="A52" s="2"/>
      <c r="B52" s="2" t="s">
        <v>35</v>
      </c>
      <c r="C52" s="2"/>
      <c r="D52" s="2"/>
      <c r="E52" s="2"/>
      <c r="F52" s="2"/>
      <c r="G52" s="2"/>
      <c r="H52" s="2"/>
      <c r="I52" s="2"/>
      <c r="J52" s="2"/>
      <c r="K52" s="2"/>
      <c r="L52" s="2"/>
    </row>
    <row r="53" ht="12.0" customHeight="1">
      <c r="A53" s="2"/>
      <c r="B53" s="2" t="s">
        <v>36</v>
      </c>
      <c r="C53" s="2"/>
      <c r="D53" s="2"/>
      <c r="E53" s="2"/>
      <c r="F53" s="2"/>
      <c r="G53" s="2"/>
      <c r="H53" s="2"/>
      <c r="I53" s="2"/>
      <c r="J53" s="2"/>
      <c r="K53" s="2"/>
      <c r="L53" s="2"/>
    </row>
    <row r="54" ht="12.0" customHeight="1">
      <c r="A54" s="2"/>
      <c r="B54" s="4"/>
      <c r="C54" s="4"/>
      <c r="D54" s="4"/>
      <c r="E54" s="4"/>
      <c r="F54" s="4"/>
      <c r="G54" s="4"/>
      <c r="H54" s="4"/>
      <c r="I54" s="4"/>
      <c r="J54" s="4"/>
      <c r="K54" s="4"/>
      <c r="L54" s="4"/>
    </row>
    <row r="55" ht="12.0" customHeight="1"/>
    <row r="56" ht="12.0" customHeight="1">
      <c r="F56" s="23" t="s">
        <v>37</v>
      </c>
    </row>
    <row r="57" ht="12.0" customHeight="1">
      <c r="B57" s="1" t="s">
        <v>38</v>
      </c>
    </row>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3">
    <mergeCell ref="B4:K4"/>
    <mergeCell ref="B7:J7"/>
    <mergeCell ref="B32:K3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0" customHeight="1">
      <c r="A1" s="24"/>
      <c r="B1" s="24"/>
      <c r="C1" s="24"/>
      <c r="D1" s="24"/>
      <c r="E1" s="24"/>
      <c r="F1" s="24"/>
      <c r="G1" s="24"/>
      <c r="H1" s="24"/>
      <c r="I1" s="24"/>
      <c r="J1" s="24"/>
      <c r="K1" s="24"/>
      <c r="L1" s="24"/>
      <c r="M1" s="24"/>
      <c r="N1" s="24"/>
    </row>
    <row r="2" ht="12.0" customHeight="1">
      <c r="A2" s="24"/>
      <c r="B2" s="24"/>
      <c r="C2" s="24"/>
      <c r="D2" s="24"/>
      <c r="E2" s="24"/>
      <c r="F2" s="24"/>
      <c r="G2" s="24"/>
      <c r="H2" s="24"/>
      <c r="I2" s="24"/>
      <c r="J2" s="24"/>
      <c r="K2" s="24"/>
      <c r="L2" s="24"/>
      <c r="M2" s="24"/>
      <c r="N2" s="24"/>
    </row>
    <row r="3" ht="12.0" customHeight="1">
      <c r="A3" s="24"/>
      <c r="B3" s="24"/>
      <c r="C3" s="24"/>
      <c r="D3" s="24"/>
      <c r="E3" s="24"/>
      <c r="F3" s="24"/>
      <c r="G3" s="24"/>
      <c r="H3" s="24"/>
      <c r="I3" s="24"/>
      <c r="J3" s="24"/>
      <c r="K3" s="24"/>
      <c r="L3" s="24"/>
      <c r="M3" s="24"/>
      <c r="N3" s="24"/>
    </row>
    <row r="4" ht="12.0" customHeight="1">
      <c r="A4" s="24"/>
      <c r="B4" s="24"/>
      <c r="C4" s="24"/>
      <c r="D4" s="24"/>
      <c r="E4" s="24"/>
      <c r="F4" s="24"/>
      <c r="G4" s="24"/>
      <c r="H4" s="24"/>
      <c r="I4" s="24"/>
      <c r="J4" s="24"/>
      <c r="K4" s="24"/>
      <c r="L4" s="24"/>
      <c r="M4" s="24"/>
      <c r="N4" s="24"/>
    </row>
    <row r="5" ht="12.0" customHeight="1">
      <c r="A5" s="24"/>
      <c r="B5" s="24"/>
      <c r="C5" s="24"/>
      <c r="D5" s="24"/>
      <c r="E5" s="24"/>
      <c r="F5" s="24"/>
      <c r="G5" s="24"/>
      <c r="H5" s="24"/>
      <c r="I5" s="24"/>
      <c r="J5" s="24"/>
      <c r="K5" s="24"/>
      <c r="L5" s="24"/>
      <c r="M5" s="24"/>
      <c r="N5" s="24"/>
    </row>
    <row r="6" ht="12.0" customHeight="1">
      <c r="A6" s="24"/>
      <c r="B6" s="24"/>
      <c r="C6" s="24"/>
      <c r="D6" s="24"/>
      <c r="E6" s="24"/>
      <c r="F6" s="24"/>
      <c r="G6" s="24"/>
      <c r="H6" s="24"/>
      <c r="I6" s="24"/>
      <c r="J6" s="24"/>
      <c r="K6" s="24"/>
      <c r="L6" s="24"/>
      <c r="M6" s="24"/>
      <c r="N6" s="24"/>
    </row>
    <row r="7" ht="12.0" customHeight="1">
      <c r="A7" s="24"/>
      <c r="B7" s="24"/>
      <c r="C7" s="24"/>
      <c r="D7" s="24"/>
      <c r="E7" s="24"/>
      <c r="F7" s="24"/>
      <c r="G7" s="24"/>
      <c r="H7" s="24"/>
      <c r="I7" s="24"/>
      <c r="J7" s="24"/>
      <c r="K7" s="24"/>
      <c r="L7" s="24"/>
      <c r="M7" s="24"/>
      <c r="N7" s="24"/>
    </row>
    <row r="8" ht="12.0" customHeight="1">
      <c r="A8" s="24"/>
      <c r="B8" s="24"/>
      <c r="C8" s="24"/>
      <c r="D8" s="24"/>
      <c r="E8" s="24"/>
      <c r="F8" s="24"/>
      <c r="G8" s="24"/>
      <c r="H8" s="24"/>
      <c r="I8" s="24"/>
      <c r="J8" s="24"/>
      <c r="K8" s="24"/>
      <c r="L8" s="24"/>
      <c r="M8" s="24"/>
      <c r="N8" s="24"/>
    </row>
    <row r="9" ht="12.0" customHeight="1">
      <c r="A9" s="24"/>
      <c r="B9" s="24"/>
      <c r="C9" s="24"/>
      <c r="D9" s="24"/>
      <c r="E9" s="24"/>
      <c r="F9" s="24"/>
      <c r="G9" s="24"/>
      <c r="H9" s="24"/>
      <c r="I9" s="24"/>
      <c r="J9" s="24"/>
      <c r="K9" s="24"/>
      <c r="L9" s="24"/>
      <c r="M9" s="24"/>
      <c r="N9" s="24"/>
    </row>
    <row r="10" ht="12.0" customHeight="1">
      <c r="A10" s="24"/>
      <c r="B10" s="24"/>
      <c r="C10" s="24"/>
      <c r="D10" s="24"/>
      <c r="E10" s="24"/>
      <c r="F10" s="24"/>
      <c r="G10" s="24"/>
      <c r="H10" s="24"/>
      <c r="I10" s="24"/>
      <c r="J10" s="24"/>
      <c r="K10" s="24"/>
      <c r="L10" s="24"/>
      <c r="M10" s="24"/>
      <c r="N10" s="24"/>
    </row>
    <row r="11" ht="12.0" customHeight="1">
      <c r="A11" s="24"/>
      <c r="B11" s="24"/>
      <c r="C11" s="24"/>
      <c r="D11" s="24"/>
      <c r="E11" s="24"/>
      <c r="F11" s="24"/>
      <c r="G11" s="24"/>
      <c r="H11" s="24"/>
      <c r="I11" s="24"/>
      <c r="J11" s="24"/>
      <c r="K11" s="24"/>
      <c r="L11" s="24"/>
      <c r="M11" s="24"/>
      <c r="N11" s="24"/>
    </row>
    <row r="12" ht="12.0" customHeight="1">
      <c r="A12" s="24"/>
      <c r="B12" s="24"/>
      <c r="C12" s="24"/>
      <c r="D12" s="24"/>
      <c r="E12" s="24"/>
      <c r="F12" s="24"/>
      <c r="G12" s="24"/>
      <c r="H12" s="24"/>
      <c r="I12" s="24"/>
      <c r="J12" s="24"/>
      <c r="K12" s="24"/>
      <c r="L12" s="24"/>
      <c r="M12" s="24"/>
      <c r="N12" s="24"/>
    </row>
    <row r="13" ht="12.0" customHeight="1">
      <c r="A13" s="24"/>
      <c r="B13" s="24"/>
      <c r="C13" s="24"/>
      <c r="D13" s="24"/>
      <c r="E13" s="24"/>
      <c r="F13" s="24"/>
      <c r="G13" s="24"/>
      <c r="H13" s="24"/>
      <c r="I13" s="24"/>
      <c r="J13" s="24"/>
      <c r="K13" s="24"/>
      <c r="L13" s="24"/>
      <c r="M13" s="24"/>
      <c r="N13" s="24"/>
    </row>
    <row r="14" ht="12.0" customHeight="1">
      <c r="A14" s="24"/>
      <c r="B14" s="24"/>
      <c r="C14" s="24"/>
      <c r="D14" s="24"/>
      <c r="E14" s="24"/>
      <c r="F14" s="24"/>
      <c r="G14" s="24"/>
      <c r="H14" s="24"/>
      <c r="I14" s="24"/>
      <c r="J14" s="24"/>
      <c r="K14" s="24"/>
      <c r="L14" s="24"/>
      <c r="M14" s="24"/>
      <c r="N14" s="24"/>
    </row>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9.5"/>
    <col customWidth="1" min="2" max="3" width="6.0"/>
    <col customWidth="1" min="4" max="4" width="11.0"/>
    <col customWidth="1" min="5" max="5" width="13.13"/>
    <col customWidth="1" min="6" max="6" width="14.0"/>
    <col customWidth="1" min="7" max="8" width="6.0"/>
    <col customWidth="1" min="9" max="9" width="10.13"/>
    <col customWidth="1" min="10" max="10" width="6.0"/>
    <col customWidth="1" min="11" max="12" width="5.38"/>
    <col customWidth="1" min="13" max="13" width="11.0"/>
    <col customWidth="1" min="14" max="14" width="13.13"/>
    <col customWidth="1" min="15" max="26" width="10.63"/>
  </cols>
  <sheetData>
    <row r="1" ht="12.0" customHeight="1">
      <c r="A1" s="25" t="s">
        <v>39</v>
      </c>
      <c r="B1" s="26">
        <v>1.0</v>
      </c>
      <c r="C1" s="24"/>
      <c r="D1" s="24"/>
      <c r="E1" s="24"/>
      <c r="F1" s="24"/>
      <c r="G1" s="24"/>
      <c r="H1" s="24"/>
      <c r="I1" s="24"/>
      <c r="J1" s="24"/>
      <c r="K1" s="24"/>
      <c r="L1" s="24"/>
      <c r="M1" s="24"/>
      <c r="N1" s="24"/>
    </row>
    <row r="2" ht="12.0" customHeight="1">
      <c r="A2" s="27" t="s">
        <v>40</v>
      </c>
      <c r="B2" s="28">
        <f>1.15*(1+B4)</f>
        <v>1.242</v>
      </c>
      <c r="C2" s="24"/>
      <c r="D2" s="24"/>
      <c r="E2" s="24"/>
      <c r="F2" s="24"/>
      <c r="G2" s="24"/>
      <c r="H2" s="24"/>
      <c r="I2" s="24"/>
      <c r="J2" s="24"/>
      <c r="K2" s="24"/>
      <c r="L2" s="24"/>
      <c r="M2" s="24"/>
      <c r="N2" s="24"/>
    </row>
    <row r="3" ht="12.0" customHeight="1">
      <c r="A3" s="29" t="s">
        <v>41</v>
      </c>
      <c r="B3" s="30">
        <v>0.134</v>
      </c>
      <c r="C3" s="24"/>
      <c r="D3" s="24"/>
      <c r="E3" s="24"/>
      <c r="F3" s="24"/>
      <c r="G3" s="24"/>
      <c r="H3" s="24"/>
      <c r="I3" s="24"/>
      <c r="J3" s="24"/>
      <c r="K3" s="24"/>
      <c r="L3" s="24"/>
      <c r="M3" s="24"/>
      <c r="N3" s="24"/>
    </row>
    <row r="4" ht="12.0" customHeight="1">
      <c r="A4" s="29" t="s">
        <v>42</v>
      </c>
      <c r="B4" s="30">
        <v>0.08</v>
      </c>
      <c r="C4" s="24"/>
      <c r="D4" s="24"/>
      <c r="E4" s="24"/>
      <c r="F4" s="24"/>
      <c r="G4" s="24"/>
      <c r="H4" s="24"/>
      <c r="I4" s="24"/>
      <c r="J4" s="24"/>
      <c r="K4" s="24"/>
      <c r="L4" s="24"/>
      <c r="M4" s="24"/>
      <c r="N4" s="24"/>
    </row>
    <row r="5" ht="12.0" customHeight="1">
      <c r="A5" s="31" t="s">
        <v>43</v>
      </c>
      <c r="B5" s="32">
        <f>B2/(B3-B4)</f>
        <v>23</v>
      </c>
      <c r="C5" s="24"/>
      <c r="D5" s="24"/>
      <c r="E5" s="24"/>
      <c r="F5" s="24"/>
      <c r="G5" s="24"/>
      <c r="H5" s="24"/>
      <c r="I5" s="24"/>
      <c r="J5" s="24"/>
      <c r="K5" s="24"/>
      <c r="L5" s="24"/>
      <c r="M5" s="24"/>
      <c r="N5" s="24"/>
    </row>
    <row r="6" ht="12.0" customHeight="1">
      <c r="A6" s="25" t="s">
        <v>44</v>
      </c>
      <c r="B6" s="24"/>
      <c r="C6" s="24"/>
      <c r="D6" s="24"/>
      <c r="E6" s="24"/>
      <c r="F6" s="24"/>
      <c r="G6" s="24"/>
      <c r="H6" s="24"/>
      <c r="I6" s="24"/>
      <c r="J6" s="24"/>
      <c r="K6" s="24"/>
      <c r="L6" s="24"/>
      <c r="M6" s="24"/>
      <c r="N6" s="24"/>
    </row>
    <row r="7" ht="12.0" customHeight="1">
      <c r="A7" s="25" t="s">
        <v>45</v>
      </c>
      <c r="B7" s="33">
        <v>0.1</v>
      </c>
      <c r="C7" s="24"/>
      <c r="D7" s="24" t="s">
        <v>46</v>
      </c>
      <c r="E7" s="24" t="s">
        <v>47</v>
      </c>
      <c r="F7" s="25" t="s">
        <v>45</v>
      </c>
      <c r="G7" s="33">
        <v>0.1</v>
      </c>
      <c r="H7" s="24"/>
      <c r="I7" s="24" t="s">
        <v>48</v>
      </c>
      <c r="J7" s="24"/>
      <c r="K7" s="24"/>
      <c r="L7" s="24"/>
      <c r="M7" s="24" t="s">
        <v>46</v>
      </c>
      <c r="N7" s="24" t="s">
        <v>47</v>
      </c>
    </row>
    <row r="8" ht="12.0" customHeight="1">
      <c r="A8" s="28" t="s">
        <v>49</v>
      </c>
      <c r="B8" s="34">
        <v>1.15</v>
      </c>
      <c r="C8" s="35">
        <f>+C11*($B$3-$B$4)</f>
        <v>1.265</v>
      </c>
      <c r="D8" s="36">
        <f>+C8-B8</f>
        <v>0.115</v>
      </c>
      <c r="E8" s="37">
        <f t="shared" ref="E8:E11" si="1">+C8/B8-1</f>
        <v>0.1</v>
      </c>
      <c r="F8" s="28" t="s">
        <v>50</v>
      </c>
      <c r="G8" s="34">
        <f t="shared" ref="G8:G11" si="2">+B2</f>
        <v>1.242</v>
      </c>
      <c r="H8" s="35">
        <f t="shared" ref="H8:H11" si="3">+G8*(1+$G$7)</f>
        <v>1.3662</v>
      </c>
      <c r="I8" s="34">
        <f t="shared" ref="I8:I11" si="4">H8-G8</f>
        <v>0.1242</v>
      </c>
      <c r="J8" s="35">
        <f t="shared" ref="J8:J11" si="5">+H8/G8-1</f>
        <v>0.1</v>
      </c>
      <c r="K8" s="34">
        <f t="shared" ref="K8:K11" si="6">+$B$5</f>
        <v>23</v>
      </c>
      <c r="L8" s="35">
        <f>($B$2*(1+$B$7))/($B$3-$B$4)</f>
        <v>25.3</v>
      </c>
      <c r="M8" s="36">
        <f>+L8-K8</f>
        <v>2.3</v>
      </c>
      <c r="N8" s="37">
        <f t="shared" ref="N8:N11" si="7">+L8/K8-1</f>
        <v>0.1</v>
      </c>
    </row>
    <row r="9" ht="12.0" customHeight="1">
      <c r="A9" s="29" t="s">
        <v>51</v>
      </c>
      <c r="B9" s="38">
        <v>0.134</v>
      </c>
      <c r="C9" s="39">
        <f>($B$2/C11)+$B$4</f>
        <v>0.1330181818</v>
      </c>
      <c r="D9" s="40">
        <f t="shared" ref="D9:D10" si="8">(C9-B9)</f>
        <v>-0.0009818181818</v>
      </c>
      <c r="E9" s="41">
        <f t="shared" si="1"/>
        <v>-0.007327001357</v>
      </c>
      <c r="F9" s="29" t="s">
        <v>52</v>
      </c>
      <c r="G9" s="38">
        <f t="shared" si="2"/>
        <v>0.134</v>
      </c>
      <c r="H9" s="39">
        <f t="shared" si="3"/>
        <v>0.1474</v>
      </c>
      <c r="I9" s="38">
        <f t="shared" si="4"/>
        <v>0.0134</v>
      </c>
      <c r="J9" s="39">
        <f t="shared" si="5"/>
        <v>0.1</v>
      </c>
      <c r="K9" s="42">
        <f t="shared" si="6"/>
        <v>23</v>
      </c>
      <c r="L9" s="43">
        <f>$B$2/($B$3*(1+$B$7)-$B$4)</f>
        <v>18.4272997</v>
      </c>
      <c r="M9" s="44">
        <f t="shared" ref="M9:M10" si="9">(L9-K9)</f>
        <v>-4.572700297</v>
      </c>
      <c r="N9" s="41">
        <f t="shared" si="7"/>
        <v>-0.1988130564</v>
      </c>
    </row>
    <row r="10" ht="12.0" customHeight="1">
      <c r="A10" s="29" t="s">
        <v>53</v>
      </c>
      <c r="B10" s="38">
        <v>0.08</v>
      </c>
      <c r="C10" s="39">
        <f>$B$3-($B$2/C11)</f>
        <v>0.08098181818</v>
      </c>
      <c r="D10" s="40">
        <f t="shared" si="8"/>
        <v>0.0009818181818</v>
      </c>
      <c r="E10" s="41">
        <f t="shared" si="1"/>
        <v>0.01227272727</v>
      </c>
      <c r="F10" s="29" t="s">
        <v>54</v>
      </c>
      <c r="G10" s="38">
        <f t="shared" si="2"/>
        <v>0.08</v>
      </c>
      <c r="H10" s="39">
        <f t="shared" si="3"/>
        <v>0.088</v>
      </c>
      <c r="I10" s="38">
        <f t="shared" si="4"/>
        <v>0.008</v>
      </c>
      <c r="J10" s="39">
        <f t="shared" si="5"/>
        <v>0.1</v>
      </c>
      <c r="K10" s="42">
        <f t="shared" si="6"/>
        <v>23</v>
      </c>
      <c r="L10" s="43">
        <f>$B$2/($B$3-$B$4*(1+$B$7))</f>
        <v>27</v>
      </c>
      <c r="M10" s="44">
        <f t="shared" si="9"/>
        <v>4</v>
      </c>
      <c r="N10" s="41">
        <f t="shared" si="7"/>
        <v>0.1739130435</v>
      </c>
    </row>
    <row r="11" ht="12.0" customHeight="1">
      <c r="A11" s="45" t="s">
        <v>55</v>
      </c>
      <c r="B11" s="46">
        <f>B8/($B$3-$B$4)</f>
        <v>21.2962963</v>
      </c>
      <c r="C11" s="47">
        <f>+B11*(1+$B$7)</f>
        <v>23.42592593</v>
      </c>
      <c r="D11" s="46">
        <f>+C11-B11</f>
        <v>2.12962963</v>
      </c>
      <c r="E11" s="48">
        <f t="shared" si="1"/>
        <v>0.1</v>
      </c>
      <c r="F11" s="45" t="s">
        <v>55</v>
      </c>
      <c r="G11" s="49">
        <f t="shared" si="2"/>
        <v>23</v>
      </c>
      <c r="H11" s="47">
        <f t="shared" si="3"/>
        <v>25.3</v>
      </c>
      <c r="I11" s="49">
        <f t="shared" si="4"/>
        <v>2.3</v>
      </c>
      <c r="J11" s="47">
        <f t="shared" si="5"/>
        <v>0.1</v>
      </c>
      <c r="K11" s="49">
        <f t="shared" si="6"/>
        <v>23</v>
      </c>
      <c r="L11" s="47">
        <f>+K11*(1+$B$7)</f>
        <v>25.3</v>
      </c>
      <c r="M11" s="46">
        <f>+L11-K11</f>
        <v>2.3</v>
      </c>
      <c r="N11" s="48">
        <f t="shared" si="7"/>
        <v>0.1</v>
      </c>
    </row>
    <row r="12" ht="12.0" customHeight="1">
      <c r="A12" s="24"/>
      <c r="B12" s="24"/>
      <c r="C12" s="24"/>
      <c r="D12" s="24"/>
      <c r="E12" s="24"/>
      <c r="F12" s="24"/>
      <c r="G12" s="24"/>
      <c r="H12" s="24"/>
      <c r="I12" s="24"/>
      <c r="J12" s="24"/>
      <c r="K12" s="24"/>
      <c r="L12" s="24"/>
      <c r="M12" s="24"/>
      <c r="N12" s="24"/>
    </row>
    <row r="13" ht="12.0" customHeight="1">
      <c r="A13" s="24"/>
      <c r="B13" s="24"/>
      <c r="C13" s="24"/>
      <c r="D13" s="24"/>
      <c r="E13" s="24"/>
      <c r="F13" s="24"/>
      <c r="G13" s="24"/>
      <c r="H13" s="24"/>
      <c r="I13" s="24"/>
      <c r="J13" s="24"/>
      <c r="K13" s="24"/>
      <c r="L13" s="24"/>
      <c r="M13" s="24"/>
      <c r="N13" s="24"/>
    </row>
    <row r="14" ht="12.0" customHeight="1">
      <c r="A14" s="24"/>
      <c r="B14" s="24"/>
      <c r="C14" s="24"/>
      <c r="D14" s="24"/>
      <c r="E14" s="24"/>
      <c r="F14" s="24"/>
      <c r="G14" s="24"/>
      <c r="H14" s="24"/>
      <c r="I14" s="24"/>
      <c r="J14" s="24"/>
      <c r="K14" s="24"/>
      <c r="L14" s="24"/>
      <c r="M14" s="24"/>
      <c r="N14" s="24"/>
    </row>
    <row r="15" ht="12.0" customHeight="1">
      <c r="A15" s="24"/>
      <c r="B15" s="24"/>
      <c r="C15" s="24"/>
      <c r="D15" s="24"/>
      <c r="E15" s="24"/>
      <c r="F15" s="24"/>
      <c r="G15" s="24"/>
      <c r="H15" s="24"/>
      <c r="I15" s="24"/>
      <c r="J15" s="24"/>
      <c r="K15" s="24"/>
      <c r="L15" s="24"/>
      <c r="M15" s="24"/>
      <c r="N15" s="24"/>
    </row>
    <row r="16" ht="12.0" customHeight="1">
      <c r="A16" s="24"/>
      <c r="B16" s="24"/>
      <c r="C16" s="24"/>
      <c r="D16" s="24"/>
      <c r="E16" s="24"/>
      <c r="F16" s="24"/>
      <c r="G16" s="24"/>
      <c r="H16" s="24"/>
      <c r="I16" s="24"/>
      <c r="J16" s="24"/>
      <c r="K16" s="24"/>
      <c r="L16" s="24"/>
      <c r="M16" s="24"/>
      <c r="N16" s="24"/>
    </row>
    <row r="17" ht="12.0" customHeight="1">
      <c r="A17" s="24"/>
      <c r="B17" s="24"/>
      <c r="C17" s="24"/>
      <c r="D17" s="24"/>
      <c r="E17" s="24"/>
      <c r="F17" s="24"/>
      <c r="G17" s="24"/>
      <c r="H17" s="24"/>
      <c r="I17" s="24"/>
      <c r="J17" s="24"/>
      <c r="K17" s="24"/>
      <c r="L17" s="24"/>
      <c r="M17" s="24"/>
      <c r="N17" s="24"/>
    </row>
    <row r="18" ht="12.0" customHeight="1">
      <c r="A18" s="24"/>
      <c r="B18" s="24"/>
      <c r="C18" s="24"/>
      <c r="D18" s="24"/>
      <c r="E18" s="24"/>
      <c r="F18" s="24"/>
      <c r="G18" s="24"/>
      <c r="H18" s="24"/>
      <c r="I18" s="24"/>
      <c r="J18" s="24"/>
      <c r="K18" s="24"/>
      <c r="L18" s="24"/>
      <c r="M18" s="24"/>
      <c r="N18" s="24"/>
    </row>
    <row r="19" ht="12.0" customHeight="1">
      <c r="A19" s="24"/>
      <c r="B19" s="24"/>
      <c r="C19" s="24"/>
      <c r="D19" s="24"/>
      <c r="E19" s="24"/>
      <c r="F19" s="24"/>
      <c r="G19" s="24"/>
      <c r="H19" s="24"/>
      <c r="I19" s="24"/>
      <c r="J19" s="24"/>
      <c r="K19" s="24"/>
      <c r="L19" s="24"/>
      <c r="M19" s="24"/>
      <c r="N19" s="24"/>
    </row>
    <row r="20" ht="12.0" customHeight="1">
      <c r="A20" s="24"/>
      <c r="B20" s="24"/>
      <c r="C20" s="24"/>
      <c r="D20" s="24"/>
      <c r="E20" s="24"/>
      <c r="F20" s="24"/>
      <c r="G20" s="24"/>
      <c r="H20" s="24"/>
      <c r="I20" s="24"/>
      <c r="J20" s="24"/>
      <c r="K20" s="24"/>
      <c r="L20" s="24"/>
      <c r="M20" s="24"/>
      <c r="N20" s="24"/>
    </row>
    <row r="21" ht="12.0" customHeight="1">
      <c r="A21" s="24"/>
      <c r="B21" s="24"/>
      <c r="C21" s="24"/>
      <c r="D21" s="24"/>
      <c r="E21" s="24"/>
      <c r="F21" s="24"/>
      <c r="G21" s="24"/>
      <c r="H21" s="24"/>
      <c r="I21" s="24"/>
      <c r="J21" s="24"/>
      <c r="K21" s="24"/>
      <c r="L21" s="24"/>
      <c r="M21" s="24"/>
      <c r="N21" s="24"/>
    </row>
    <row r="22" ht="12.0" customHeight="1">
      <c r="A22" s="24"/>
      <c r="B22" s="24"/>
      <c r="C22" s="24"/>
      <c r="D22" s="24"/>
      <c r="E22" s="24"/>
      <c r="F22" s="24"/>
      <c r="G22" s="24"/>
      <c r="H22" s="24"/>
      <c r="I22" s="24"/>
      <c r="J22" s="24"/>
      <c r="K22" s="24"/>
      <c r="L22" s="24"/>
      <c r="M22" s="24"/>
      <c r="N22" s="24"/>
    </row>
    <row r="23" ht="12.0" customHeight="1">
      <c r="A23" s="24"/>
      <c r="B23" s="24"/>
      <c r="C23" s="24"/>
      <c r="D23" s="24"/>
      <c r="E23" s="24"/>
      <c r="F23" s="24"/>
      <c r="G23" s="24"/>
      <c r="H23" s="24"/>
      <c r="I23" s="24"/>
      <c r="J23" s="24"/>
      <c r="K23" s="24"/>
      <c r="L23" s="24"/>
      <c r="M23" s="24"/>
      <c r="N23" s="24"/>
    </row>
    <row r="24" ht="12.0" customHeight="1">
      <c r="A24" s="24"/>
      <c r="B24" s="24"/>
      <c r="C24" s="24"/>
      <c r="D24" s="24"/>
      <c r="E24" s="24"/>
      <c r="F24" s="24"/>
      <c r="G24" s="24"/>
      <c r="H24" s="24"/>
      <c r="I24" s="24"/>
      <c r="J24" s="24"/>
      <c r="K24" s="24"/>
      <c r="L24" s="24"/>
      <c r="M24" s="24"/>
      <c r="N24" s="24"/>
    </row>
    <row r="25" ht="12.0" customHeight="1">
      <c r="A25" s="24"/>
      <c r="B25" s="24"/>
      <c r="C25" s="24"/>
      <c r="D25" s="24"/>
      <c r="E25" s="24"/>
      <c r="F25" s="24"/>
      <c r="G25" s="24"/>
      <c r="H25" s="24"/>
      <c r="I25" s="24"/>
      <c r="J25" s="24"/>
      <c r="K25" s="24"/>
      <c r="L25" s="24"/>
      <c r="M25" s="24"/>
      <c r="N25" s="24"/>
    </row>
    <row r="26" ht="12.0" customHeight="1">
      <c r="A26" s="24"/>
      <c r="B26" s="24"/>
      <c r="C26" s="24"/>
      <c r="D26" s="24"/>
      <c r="E26" s="24"/>
      <c r="F26" s="24"/>
      <c r="G26" s="24"/>
      <c r="H26" s="24"/>
      <c r="I26" s="24"/>
      <c r="J26" s="24"/>
      <c r="K26" s="24"/>
      <c r="L26" s="24"/>
      <c r="M26" s="24"/>
      <c r="N26" s="24"/>
    </row>
    <row r="27" ht="12.0" customHeight="1">
      <c r="A27" s="24"/>
      <c r="B27" s="24"/>
      <c r="C27" s="24"/>
      <c r="D27" s="24"/>
      <c r="E27" s="24"/>
      <c r="F27" s="24"/>
      <c r="G27" s="24"/>
      <c r="H27" s="24"/>
      <c r="I27" s="24"/>
      <c r="J27" s="24"/>
      <c r="K27" s="24"/>
      <c r="L27" s="24"/>
      <c r="M27" s="24"/>
      <c r="N27" s="24"/>
    </row>
    <row r="28" ht="12.0" customHeight="1">
      <c r="A28" s="24"/>
      <c r="B28" s="24"/>
      <c r="C28" s="24"/>
      <c r="D28" s="24"/>
      <c r="E28" s="24"/>
      <c r="F28" s="24"/>
      <c r="G28" s="24"/>
      <c r="H28" s="24"/>
      <c r="I28" s="24"/>
      <c r="J28" s="24"/>
      <c r="K28" s="24"/>
      <c r="L28" s="24"/>
      <c r="M28" s="24"/>
      <c r="N28" s="24"/>
    </row>
    <row r="29" ht="12.0" customHeight="1">
      <c r="A29" s="24"/>
      <c r="B29" s="24"/>
      <c r="C29" s="24"/>
      <c r="D29" s="24"/>
      <c r="E29" s="24"/>
      <c r="F29" s="24"/>
      <c r="G29" s="24"/>
      <c r="H29" s="24"/>
      <c r="I29" s="24"/>
      <c r="J29" s="24"/>
      <c r="K29" s="24"/>
      <c r="L29" s="24"/>
      <c r="M29" s="24"/>
      <c r="N29" s="24"/>
    </row>
    <row r="30" ht="12.0" customHeight="1">
      <c r="A30" s="24"/>
      <c r="B30" s="24"/>
      <c r="C30" s="24"/>
      <c r="D30" s="24"/>
      <c r="E30" s="24"/>
      <c r="F30" s="24"/>
      <c r="G30" s="24"/>
      <c r="H30" s="24"/>
      <c r="I30" s="24"/>
      <c r="J30" s="24"/>
      <c r="K30" s="24"/>
      <c r="L30" s="24"/>
      <c r="M30" s="24"/>
      <c r="N30" s="24"/>
    </row>
    <row r="31" ht="12.0" customHeight="1">
      <c r="A31" s="24"/>
      <c r="B31" s="24"/>
      <c r="C31" s="24"/>
      <c r="D31" s="24"/>
      <c r="E31" s="24"/>
      <c r="F31" s="24"/>
      <c r="G31" s="24"/>
      <c r="H31" s="24"/>
      <c r="I31" s="24"/>
      <c r="J31" s="24"/>
      <c r="K31" s="24"/>
      <c r="L31" s="24"/>
      <c r="M31" s="24"/>
      <c r="N31" s="24"/>
    </row>
    <row r="32" ht="12.0" customHeight="1"/>
    <row r="33" ht="12.0" customHeight="1"/>
    <row r="34" ht="12.0" customHeight="1"/>
    <row r="35" ht="12.0" customHeight="1"/>
    <row r="36" ht="12.0" customHeight="1"/>
    <row r="37" ht="12.0" customHeight="1"/>
    <row r="38" ht="12.0" customHeight="1">
      <c r="A38" s="50"/>
    </row>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5"/>
    <col customWidth="1" min="2" max="2" width="6.0"/>
    <col customWidth="1" min="3" max="9" width="5.38"/>
    <col customWidth="1" min="10" max="10" width="6.0"/>
    <col customWidth="1" min="11" max="100" width="5.38"/>
  </cols>
  <sheetData>
    <row r="1" ht="12.0" customHeight="1">
      <c r="A1" s="25" t="s">
        <v>39</v>
      </c>
      <c r="B1" s="26">
        <v>3.0</v>
      </c>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4"/>
      <c r="CQ1" s="24"/>
      <c r="CR1" s="24"/>
      <c r="CS1" s="24"/>
      <c r="CT1" s="24"/>
      <c r="CU1" s="24"/>
      <c r="CV1" s="24"/>
    </row>
    <row r="2" ht="12.0" customHeight="1">
      <c r="A2" s="28" t="s">
        <v>56</v>
      </c>
      <c r="B2" s="28">
        <v>1.15</v>
      </c>
      <c r="C2" s="24"/>
      <c r="D2" s="51" t="s">
        <v>57</v>
      </c>
      <c r="E2" s="52"/>
      <c r="F2" s="52"/>
      <c r="G2" s="52"/>
      <c r="H2" s="53"/>
      <c r="I2" s="54" t="s">
        <v>58</v>
      </c>
      <c r="J2" s="24" t="s">
        <v>59</v>
      </c>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row>
    <row r="3" ht="12.0" customHeight="1">
      <c r="A3" s="29" t="s">
        <v>41</v>
      </c>
      <c r="B3" s="30">
        <v>0.134</v>
      </c>
      <c r="C3" s="24"/>
      <c r="D3" s="51" t="s">
        <v>60</v>
      </c>
      <c r="E3" s="52"/>
      <c r="F3" s="52"/>
      <c r="G3" s="52"/>
      <c r="H3" s="53"/>
      <c r="I3" s="54" t="s">
        <v>58</v>
      </c>
      <c r="J3" s="24" t="s">
        <v>61</v>
      </c>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row>
    <row r="4" ht="12.0" customHeight="1">
      <c r="A4" s="29" t="s">
        <v>42</v>
      </c>
      <c r="B4" s="30">
        <v>0.08</v>
      </c>
      <c r="C4" s="39"/>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row>
    <row r="5" ht="12.0" customHeight="1">
      <c r="A5" s="31" t="s">
        <v>43</v>
      </c>
      <c r="B5" s="32">
        <f>B2/(B3-B4)</f>
        <v>21.2962963</v>
      </c>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row>
    <row r="6" ht="12.0" customHeight="1">
      <c r="A6" s="24"/>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c r="CD6" s="24"/>
      <c r="CE6" s="24"/>
      <c r="CF6" s="24"/>
      <c r="CG6" s="24"/>
      <c r="CH6" s="24"/>
      <c r="CI6" s="24"/>
      <c r="CJ6" s="24"/>
      <c r="CK6" s="24"/>
      <c r="CL6" s="24"/>
      <c r="CM6" s="24"/>
      <c r="CN6" s="24"/>
      <c r="CO6" s="24"/>
      <c r="CP6" s="24"/>
      <c r="CQ6" s="24"/>
      <c r="CR6" s="24"/>
      <c r="CS6" s="24"/>
      <c r="CT6" s="24"/>
      <c r="CU6" s="24"/>
      <c r="CV6" s="24"/>
    </row>
    <row r="7" ht="12.0" customHeight="1">
      <c r="A7" s="24">
        <v>1.0</v>
      </c>
      <c r="B7" s="24">
        <f t="shared" ref="B7:CV7" si="1">+A7+1</f>
        <v>2</v>
      </c>
      <c r="C7" s="24">
        <f t="shared" si="1"/>
        <v>3</v>
      </c>
      <c r="D7" s="24">
        <f t="shared" si="1"/>
        <v>4</v>
      </c>
      <c r="E7" s="24">
        <f t="shared" si="1"/>
        <v>5</v>
      </c>
      <c r="F7" s="24">
        <f t="shared" si="1"/>
        <v>6</v>
      </c>
      <c r="G7" s="24">
        <f t="shared" si="1"/>
        <v>7</v>
      </c>
      <c r="H7" s="24">
        <f t="shared" si="1"/>
        <v>8</v>
      </c>
      <c r="I7" s="24">
        <f t="shared" si="1"/>
        <v>9</v>
      </c>
      <c r="J7" s="24">
        <f t="shared" si="1"/>
        <v>10</v>
      </c>
      <c r="K7" s="24">
        <f t="shared" si="1"/>
        <v>11</v>
      </c>
      <c r="L7" s="24">
        <f t="shared" si="1"/>
        <v>12</v>
      </c>
      <c r="M7" s="24">
        <f t="shared" si="1"/>
        <v>13</v>
      </c>
      <c r="N7" s="24">
        <f t="shared" si="1"/>
        <v>14</v>
      </c>
      <c r="O7" s="24">
        <f t="shared" si="1"/>
        <v>15</v>
      </c>
      <c r="P7" s="24">
        <f t="shared" si="1"/>
        <v>16</v>
      </c>
      <c r="Q7" s="24">
        <f t="shared" si="1"/>
        <v>17</v>
      </c>
      <c r="R7" s="24">
        <f t="shared" si="1"/>
        <v>18</v>
      </c>
      <c r="S7" s="24">
        <f t="shared" si="1"/>
        <v>19</v>
      </c>
      <c r="T7" s="24">
        <f t="shared" si="1"/>
        <v>20</v>
      </c>
      <c r="U7" s="24">
        <f t="shared" si="1"/>
        <v>21</v>
      </c>
      <c r="V7" s="24">
        <f t="shared" si="1"/>
        <v>22</v>
      </c>
      <c r="W7" s="24">
        <f t="shared" si="1"/>
        <v>23</v>
      </c>
      <c r="X7" s="24">
        <f t="shared" si="1"/>
        <v>24</v>
      </c>
      <c r="Y7" s="24">
        <f t="shared" si="1"/>
        <v>25</v>
      </c>
      <c r="Z7" s="24">
        <f t="shared" si="1"/>
        <v>26</v>
      </c>
      <c r="AA7" s="24">
        <f t="shared" si="1"/>
        <v>27</v>
      </c>
      <c r="AB7" s="24">
        <f t="shared" si="1"/>
        <v>28</v>
      </c>
      <c r="AC7" s="24">
        <f t="shared" si="1"/>
        <v>29</v>
      </c>
      <c r="AD7" s="24">
        <f t="shared" si="1"/>
        <v>30</v>
      </c>
      <c r="AE7" s="24">
        <f t="shared" si="1"/>
        <v>31</v>
      </c>
      <c r="AF7" s="24">
        <f t="shared" si="1"/>
        <v>32</v>
      </c>
      <c r="AG7" s="24">
        <f t="shared" si="1"/>
        <v>33</v>
      </c>
      <c r="AH7" s="24">
        <f t="shared" si="1"/>
        <v>34</v>
      </c>
      <c r="AI7" s="24">
        <f t="shared" si="1"/>
        <v>35</v>
      </c>
      <c r="AJ7" s="24">
        <f t="shared" si="1"/>
        <v>36</v>
      </c>
      <c r="AK7" s="24">
        <f t="shared" si="1"/>
        <v>37</v>
      </c>
      <c r="AL7" s="24">
        <f t="shared" si="1"/>
        <v>38</v>
      </c>
      <c r="AM7" s="24">
        <f t="shared" si="1"/>
        <v>39</v>
      </c>
      <c r="AN7" s="24">
        <f t="shared" si="1"/>
        <v>40</v>
      </c>
      <c r="AO7" s="24">
        <f t="shared" si="1"/>
        <v>41</v>
      </c>
      <c r="AP7" s="24">
        <f t="shared" si="1"/>
        <v>42</v>
      </c>
      <c r="AQ7" s="24">
        <f t="shared" si="1"/>
        <v>43</v>
      </c>
      <c r="AR7" s="24">
        <f t="shared" si="1"/>
        <v>44</v>
      </c>
      <c r="AS7" s="24">
        <f t="shared" si="1"/>
        <v>45</v>
      </c>
      <c r="AT7" s="24">
        <f t="shared" si="1"/>
        <v>46</v>
      </c>
      <c r="AU7" s="24">
        <f t="shared" si="1"/>
        <v>47</v>
      </c>
      <c r="AV7" s="24">
        <f t="shared" si="1"/>
        <v>48</v>
      </c>
      <c r="AW7" s="24">
        <f t="shared" si="1"/>
        <v>49</v>
      </c>
      <c r="AX7" s="24">
        <f t="shared" si="1"/>
        <v>50</v>
      </c>
      <c r="AY7" s="24">
        <f t="shared" si="1"/>
        <v>51</v>
      </c>
      <c r="AZ7" s="24">
        <f t="shared" si="1"/>
        <v>52</v>
      </c>
      <c r="BA7" s="24">
        <f t="shared" si="1"/>
        <v>53</v>
      </c>
      <c r="BB7" s="24">
        <f t="shared" si="1"/>
        <v>54</v>
      </c>
      <c r="BC7" s="24">
        <f t="shared" si="1"/>
        <v>55</v>
      </c>
      <c r="BD7" s="24">
        <f t="shared" si="1"/>
        <v>56</v>
      </c>
      <c r="BE7" s="24">
        <f t="shared" si="1"/>
        <v>57</v>
      </c>
      <c r="BF7" s="24">
        <f t="shared" si="1"/>
        <v>58</v>
      </c>
      <c r="BG7" s="24">
        <f t="shared" si="1"/>
        <v>59</v>
      </c>
      <c r="BH7" s="24">
        <f t="shared" si="1"/>
        <v>60</v>
      </c>
      <c r="BI7" s="24">
        <f t="shared" si="1"/>
        <v>61</v>
      </c>
      <c r="BJ7" s="24">
        <f t="shared" si="1"/>
        <v>62</v>
      </c>
      <c r="BK7" s="24">
        <f t="shared" si="1"/>
        <v>63</v>
      </c>
      <c r="BL7" s="24">
        <f t="shared" si="1"/>
        <v>64</v>
      </c>
      <c r="BM7" s="24">
        <f t="shared" si="1"/>
        <v>65</v>
      </c>
      <c r="BN7" s="24">
        <f t="shared" si="1"/>
        <v>66</v>
      </c>
      <c r="BO7" s="24">
        <f t="shared" si="1"/>
        <v>67</v>
      </c>
      <c r="BP7" s="24">
        <f t="shared" si="1"/>
        <v>68</v>
      </c>
      <c r="BQ7" s="24">
        <f t="shared" si="1"/>
        <v>69</v>
      </c>
      <c r="BR7" s="24">
        <f t="shared" si="1"/>
        <v>70</v>
      </c>
      <c r="BS7" s="24">
        <f t="shared" si="1"/>
        <v>71</v>
      </c>
      <c r="BT7" s="24">
        <f t="shared" si="1"/>
        <v>72</v>
      </c>
      <c r="BU7" s="24">
        <f t="shared" si="1"/>
        <v>73</v>
      </c>
      <c r="BV7" s="24">
        <f t="shared" si="1"/>
        <v>74</v>
      </c>
      <c r="BW7" s="24">
        <f t="shared" si="1"/>
        <v>75</v>
      </c>
      <c r="BX7" s="24">
        <f t="shared" si="1"/>
        <v>76</v>
      </c>
      <c r="BY7" s="24">
        <f t="shared" si="1"/>
        <v>77</v>
      </c>
      <c r="BZ7" s="24">
        <f t="shared" si="1"/>
        <v>78</v>
      </c>
      <c r="CA7" s="24">
        <f t="shared" si="1"/>
        <v>79</v>
      </c>
      <c r="CB7" s="24">
        <f t="shared" si="1"/>
        <v>80</v>
      </c>
      <c r="CC7" s="24">
        <f t="shared" si="1"/>
        <v>81</v>
      </c>
      <c r="CD7" s="24">
        <f t="shared" si="1"/>
        <v>82</v>
      </c>
      <c r="CE7" s="24">
        <f t="shared" si="1"/>
        <v>83</v>
      </c>
      <c r="CF7" s="24">
        <f t="shared" si="1"/>
        <v>84</v>
      </c>
      <c r="CG7" s="24">
        <f t="shared" si="1"/>
        <v>85</v>
      </c>
      <c r="CH7" s="24">
        <f t="shared" si="1"/>
        <v>86</v>
      </c>
      <c r="CI7" s="24">
        <f t="shared" si="1"/>
        <v>87</v>
      </c>
      <c r="CJ7" s="24">
        <f t="shared" si="1"/>
        <v>88</v>
      </c>
      <c r="CK7" s="24">
        <f t="shared" si="1"/>
        <v>89</v>
      </c>
      <c r="CL7" s="24">
        <f t="shared" si="1"/>
        <v>90</v>
      </c>
      <c r="CM7" s="24">
        <f t="shared" si="1"/>
        <v>91</v>
      </c>
      <c r="CN7" s="24">
        <f t="shared" si="1"/>
        <v>92</v>
      </c>
      <c r="CO7" s="24">
        <f t="shared" si="1"/>
        <v>93</v>
      </c>
      <c r="CP7" s="24">
        <f t="shared" si="1"/>
        <v>94</v>
      </c>
      <c r="CQ7" s="24">
        <f t="shared" si="1"/>
        <v>95</v>
      </c>
      <c r="CR7" s="24">
        <f t="shared" si="1"/>
        <v>96</v>
      </c>
      <c r="CS7" s="24">
        <f t="shared" si="1"/>
        <v>97</v>
      </c>
      <c r="CT7" s="24">
        <f t="shared" si="1"/>
        <v>98</v>
      </c>
      <c r="CU7" s="24">
        <f t="shared" si="1"/>
        <v>99</v>
      </c>
      <c r="CV7" s="24">
        <f t="shared" si="1"/>
        <v>100</v>
      </c>
    </row>
    <row r="8" ht="12.0" customHeight="1">
      <c r="A8" s="43">
        <f t="shared" ref="A8:CV8" si="2">$B$2*(1+$B$4)^A$7/(1+$B$3)^A$7</f>
        <v>1.095238095</v>
      </c>
      <c r="B8" s="43">
        <f t="shared" si="2"/>
        <v>1.0430839</v>
      </c>
      <c r="C8" s="43">
        <f t="shared" si="2"/>
        <v>0.9934132383</v>
      </c>
      <c r="D8" s="43">
        <f t="shared" si="2"/>
        <v>0.946107846</v>
      </c>
      <c r="E8" s="43">
        <f t="shared" si="2"/>
        <v>0.9010550914</v>
      </c>
      <c r="F8" s="43">
        <f t="shared" si="2"/>
        <v>0.8581477061</v>
      </c>
      <c r="G8" s="43">
        <f t="shared" si="2"/>
        <v>0.8172835296</v>
      </c>
      <c r="H8" s="43">
        <f t="shared" si="2"/>
        <v>0.7783652663</v>
      </c>
      <c r="I8" s="43">
        <f t="shared" si="2"/>
        <v>0.7413002537</v>
      </c>
      <c r="J8" s="43">
        <f t="shared" si="2"/>
        <v>0.7060002416</v>
      </c>
      <c r="K8" s="43">
        <f t="shared" si="2"/>
        <v>0.6723811824</v>
      </c>
      <c r="L8" s="43">
        <f t="shared" si="2"/>
        <v>0.6403630309</v>
      </c>
      <c r="M8" s="43">
        <f t="shared" si="2"/>
        <v>0.6098695532</v>
      </c>
      <c r="N8" s="43">
        <f t="shared" si="2"/>
        <v>0.5808281459</v>
      </c>
      <c r="O8" s="43">
        <f t="shared" si="2"/>
        <v>0.5531696628</v>
      </c>
      <c r="P8" s="43">
        <f t="shared" si="2"/>
        <v>0.5268282503</v>
      </c>
      <c r="Q8" s="43">
        <f t="shared" si="2"/>
        <v>0.5017411908</v>
      </c>
      <c r="R8" s="43">
        <f t="shared" si="2"/>
        <v>0.4778487531</v>
      </c>
      <c r="S8" s="43">
        <f t="shared" si="2"/>
        <v>0.4550940506</v>
      </c>
      <c r="T8" s="43">
        <f t="shared" si="2"/>
        <v>0.4334229053</v>
      </c>
      <c r="U8" s="43">
        <f t="shared" si="2"/>
        <v>0.4127837193</v>
      </c>
      <c r="V8" s="43">
        <f t="shared" si="2"/>
        <v>0.3931273517</v>
      </c>
      <c r="W8" s="43">
        <f t="shared" si="2"/>
        <v>0.3744070017</v>
      </c>
      <c r="X8" s="43">
        <f t="shared" si="2"/>
        <v>0.3565780968</v>
      </c>
      <c r="Y8" s="43">
        <f t="shared" si="2"/>
        <v>0.3395981875</v>
      </c>
      <c r="Z8" s="43">
        <f t="shared" si="2"/>
        <v>0.3234268452</v>
      </c>
      <c r="AA8" s="43">
        <f t="shared" si="2"/>
        <v>0.3080255669</v>
      </c>
      <c r="AB8" s="43">
        <f t="shared" si="2"/>
        <v>0.2933576827</v>
      </c>
      <c r="AC8" s="43">
        <f t="shared" si="2"/>
        <v>0.2793882693</v>
      </c>
      <c r="AD8" s="43">
        <f t="shared" si="2"/>
        <v>0.266084066</v>
      </c>
      <c r="AE8" s="43">
        <f t="shared" si="2"/>
        <v>0.2534133961</v>
      </c>
      <c r="AF8" s="43">
        <f t="shared" si="2"/>
        <v>0.2413460916</v>
      </c>
      <c r="AG8" s="43">
        <f t="shared" si="2"/>
        <v>0.2298534205</v>
      </c>
      <c r="AH8" s="43">
        <f t="shared" si="2"/>
        <v>0.2189080196</v>
      </c>
      <c r="AI8" s="43">
        <f t="shared" si="2"/>
        <v>0.2084838282</v>
      </c>
      <c r="AJ8" s="43">
        <f t="shared" si="2"/>
        <v>0.1985560268</v>
      </c>
      <c r="AK8" s="43">
        <f t="shared" si="2"/>
        <v>0.1891009779</v>
      </c>
      <c r="AL8" s="43">
        <f t="shared" si="2"/>
        <v>0.1800961694</v>
      </c>
      <c r="AM8" s="43">
        <f t="shared" si="2"/>
        <v>0.1715201614</v>
      </c>
      <c r="AN8" s="43">
        <f t="shared" si="2"/>
        <v>0.1633525346</v>
      </c>
      <c r="AO8" s="43">
        <f t="shared" si="2"/>
        <v>0.1555738425</v>
      </c>
      <c r="AP8" s="43">
        <f t="shared" si="2"/>
        <v>0.1481655643</v>
      </c>
      <c r="AQ8" s="43">
        <f t="shared" si="2"/>
        <v>0.1411100612</v>
      </c>
      <c r="AR8" s="43">
        <f t="shared" si="2"/>
        <v>0.1343905345</v>
      </c>
      <c r="AS8" s="43">
        <f t="shared" si="2"/>
        <v>0.1279909853</v>
      </c>
      <c r="AT8" s="43">
        <f t="shared" si="2"/>
        <v>0.1218961764</v>
      </c>
      <c r="AU8" s="43">
        <f t="shared" si="2"/>
        <v>0.1160915966</v>
      </c>
      <c r="AV8" s="43">
        <f t="shared" si="2"/>
        <v>0.1105634253</v>
      </c>
      <c r="AW8" s="43">
        <f t="shared" si="2"/>
        <v>0.1052985003</v>
      </c>
      <c r="AX8" s="43">
        <f t="shared" si="2"/>
        <v>0.100284286</v>
      </c>
      <c r="AY8" s="43">
        <f t="shared" si="2"/>
        <v>0.09550884383</v>
      </c>
      <c r="AZ8" s="43">
        <f t="shared" si="2"/>
        <v>0.09096080364</v>
      </c>
      <c r="BA8" s="43">
        <f t="shared" si="2"/>
        <v>0.0866293368</v>
      </c>
      <c r="BB8" s="43">
        <f t="shared" si="2"/>
        <v>0.08250413029</v>
      </c>
      <c r="BC8" s="43">
        <f t="shared" si="2"/>
        <v>0.07857536218</v>
      </c>
      <c r="BD8" s="43">
        <f t="shared" si="2"/>
        <v>0.07483367827</v>
      </c>
      <c r="BE8" s="43">
        <f t="shared" si="2"/>
        <v>0.07127016978</v>
      </c>
      <c r="BF8" s="43">
        <f t="shared" si="2"/>
        <v>0.06787635217</v>
      </c>
      <c r="BG8" s="43">
        <f t="shared" si="2"/>
        <v>0.06464414492</v>
      </c>
      <c r="BH8" s="43">
        <f t="shared" si="2"/>
        <v>0.06156585231</v>
      </c>
      <c r="BI8" s="43">
        <f t="shared" si="2"/>
        <v>0.05863414506</v>
      </c>
      <c r="BJ8" s="43">
        <f t="shared" si="2"/>
        <v>0.05584204291</v>
      </c>
      <c r="BK8" s="43">
        <f t="shared" si="2"/>
        <v>0.05318289801</v>
      </c>
      <c r="BL8" s="43">
        <f t="shared" si="2"/>
        <v>0.05065037906</v>
      </c>
      <c r="BM8" s="43">
        <f t="shared" si="2"/>
        <v>0.04823845624</v>
      </c>
      <c r="BN8" s="43">
        <f t="shared" si="2"/>
        <v>0.0459413869</v>
      </c>
      <c r="BO8" s="43">
        <f t="shared" si="2"/>
        <v>0.04375370181</v>
      </c>
      <c r="BP8" s="43">
        <f t="shared" si="2"/>
        <v>0.0416701922</v>
      </c>
      <c r="BQ8" s="43">
        <f t="shared" si="2"/>
        <v>0.03968589733</v>
      </c>
      <c r="BR8" s="43">
        <f t="shared" si="2"/>
        <v>0.0377960927</v>
      </c>
      <c r="BS8" s="43">
        <f t="shared" si="2"/>
        <v>0.03599627876</v>
      </c>
      <c r="BT8" s="43">
        <f t="shared" si="2"/>
        <v>0.03428217025</v>
      </c>
      <c r="BU8" s="43">
        <f t="shared" si="2"/>
        <v>0.03264968595</v>
      </c>
      <c r="BV8" s="43">
        <f t="shared" si="2"/>
        <v>0.031094939</v>
      </c>
      <c r="BW8" s="43">
        <f t="shared" si="2"/>
        <v>0.02961422762</v>
      </c>
      <c r="BX8" s="43">
        <f t="shared" si="2"/>
        <v>0.0282040263</v>
      </c>
      <c r="BY8" s="43">
        <f t="shared" si="2"/>
        <v>0.02686097743</v>
      </c>
      <c r="BZ8" s="43">
        <f t="shared" si="2"/>
        <v>0.02558188327</v>
      </c>
      <c r="CA8" s="43">
        <f t="shared" si="2"/>
        <v>0.02436369835</v>
      </c>
      <c r="CB8" s="43">
        <f t="shared" si="2"/>
        <v>0.02320352224</v>
      </c>
      <c r="CC8" s="43">
        <f t="shared" si="2"/>
        <v>0.02209859261</v>
      </c>
      <c r="CD8" s="43">
        <f t="shared" si="2"/>
        <v>0.02104627867</v>
      </c>
      <c r="CE8" s="43">
        <f t="shared" si="2"/>
        <v>0.02004407493</v>
      </c>
      <c r="CF8" s="43">
        <f t="shared" si="2"/>
        <v>0.01908959517</v>
      </c>
      <c r="CG8" s="43">
        <f t="shared" si="2"/>
        <v>0.01818056683</v>
      </c>
      <c r="CH8" s="43">
        <f t="shared" si="2"/>
        <v>0.01731482555</v>
      </c>
      <c r="CI8" s="43">
        <f t="shared" si="2"/>
        <v>0.01649031005</v>
      </c>
      <c r="CJ8" s="43">
        <f t="shared" si="2"/>
        <v>0.01570505719</v>
      </c>
      <c r="CK8" s="43">
        <f t="shared" si="2"/>
        <v>0.01495719732</v>
      </c>
      <c r="CL8" s="43">
        <f t="shared" si="2"/>
        <v>0.01424494983</v>
      </c>
      <c r="CM8" s="43">
        <f t="shared" si="2"/>
        <v>0.01356661889</v>
      </c>
      <c r="CN8" s="43">
        <f t="shared" si="2"/>
        <v>0.01292058942</v>
      </c>
      <c r="CO8" s="43">
        <f t="shared" si="2"/>
        <v>0.01230532325</v>
      </c>
      <c r="CP8" s="43">
        <f t="shared" si="2"/>
        <v>0.01171935548</v>
      </c>
      <c r="CQ8" s="43">
        <f t="shared" si="2"/>
        <v>0.01116129093</v>
      </c>
      <c r="CR8" s="43">
        <f t="shared" si="2"/>
        <v>0.01062980089</v>
      </c>
      <c r="CS8" s="43">
        <f t="shared" si="2"/>
        <v>0.01012361989</v>
      </c>
      <c r="CT8" s="43">
        <f t="shared" si="2"/>
        <v>0.009641542756</v>
      </c>
      <c r="CU8" s="43">
        <f t="shared" si="2"/>
        <v>0.009182421672</v>
      </c>
      <c r="CV8" s="43">
        <f t="shared" si="2"/>
        <v>0.008745163498</v>
      </c>
    </row>
    <row r="9" ht="12.0" customHeight="1">
      <c r="A9" s="43">
        <f t="shared" ref="A9:CV9" si="3">SUM($A$8:A8)</f>
        <v>1.095238095</v>
      </c>
      <c r="B9" s="43">
        <f t="shared" si="3"/>
        <v>2.138321995</v>
      </c>
      <c r="C9" s="43">
        <f t="shared" si="3"/>
        <v>3.131735234</v>
      </c>
      <c r="D9" s="43">
        <f t="shared" si="3"/>
        <v>4.07784308</v>
      </c>
      <c r="E9" s="55">
        <f t="shared" si="3"/>
        <v>4.978898171</v>
      </c>
      <c r="F9" s="43">
        <f t="shared" si="3"/>
        <v>5.837045877</v>
      </c>
      <c r="G9" s="43">
        <f t="shared" si="3"/>
        <v>6.654329407</v>
      </c>
      <c r="H9" s="43">
        <f t="shared" si="3"/>
        <v>7.432694673</v>
      </c>
      <c r="I9" s="43">
        <f t="shared" si="3"/>
        <v>8.173994927</v>
      </c>
      <c r="J9" s="43">
        <f t="shared" si="3"/>
        <v>8.879995169</v>
      </c>
      <c r="K9" s="43">
        <f t="shared" si="3"/>
        <v>9.552376351</v>
      </c>
      <c r="L9" s="43">
        <f t="shared" si="3"/>
        <v>10.19273938</v>
      </c>
      <c r="M9" s="43">
        <f t="shared" si="3"/>
        <v>10.80260894</v>
      </c>
      <c r="N9" s="43">
        <f t="shared" si="3"/>
        <v>11.38343708</v>
      </c>
      <c r="O9" s="43">
        <f t="shared" si="3"/>
        <v>11.93660674</v>
      </c>
      <c r="P9" s="43">
        <f t="shared" si="3"/>
        <v>12.46343499</v>
      </c>
      <c r="Q9" s="43">
        <f t="shared" si="3"/>
        <v>12.96517618</v>
      </c>
      <c r="R9" s="43">
        <f t="shared" si="3"/>
        <v>13.44302494</v>
      </c>
      <c r="S9" s="43">
        <f t="shared" si="3"/>
        <v>13.89811899</v>
      </c>
      <c r="T9" s="43">
        <f t="shared" si="3"/>
        <v>14.33154189</v>
      </c>
      <c r="U9" s="43">
        <f t="shared" si="3"/>
        <v>14.74432561</v>
      </c>
      <c r="V9" s="43">
        <f t="shared" si="3"/>
        <v>15.13745297</v>
      </c>
      <c r="W9" s="43">
        <f t="shared" si="3"/>
        <v>15.51185997</v>
      </c>
      <c r="X9" s="43">
        <f t="shared" si="3"/>
        <v>15.86843806</v>
      </c>
      <c r="Y9" s="43">
        <f t="shared" si="3"/>
        <v>16.20803625</v>
      </c>
      <c r="Z9" s="43">
        <f t="shared" si="3"/>
        <v>16.5314631</v>
      </c>
      <c r="AA9" s="43">
        <f t="shared" si="3"/>
        <v>16.83948866</v>
      </c>
      <c r="AB9" s="43">
        <f t="shared" si="3"/>
        <v>17.13284635</v>
      </c>
      <c r="AC9" s="43">
        <f t="shared" si="3"/>
        <v>17.41223461</v>
      </c>
      <c r="AD9" s="43">
        <f t="shared" si="3"/>
        <v>17.67831868</v>
      </c>
      <c r="AE9" s="43">
        <f t="shared" si="3"/>
        <v>17.93173208</v>
      </c>
      <c r="AF9" s="43">
        <f t="shared" si="3"/>
        <v>18.17307817</v>
      </c>
      <c r="AG9" s="43">
        <f t="shared" si="3"/>
        <v>18.40293159</v>
      </c>
      <c r="AH9" s="43">
        <f t="shared" si="3"/>
        <v>18.62183961</v>
      </c>
      <c r="AI9" s="43">
        <f t="shared" si="3"/>
        <v>18.83032344</v>
      </c>
      <c r="AJ9" s="43">
        <f t="shared" si="3"/>
        <v>19.02887946</v>
      </c>
      <c r="AK9" s="43">
        <f t="shared" si="3"/>
        <v>19.21798044</v>
      </c>
      <c r="AL9" s="43">
        <f t="shared" si="3"/>
        <v>19.39807661</v>
      </c>
      <c r="AM9" s="43">
        <f t="shared" si="3"/>
        <v>19.56959677</v>
      </c>
      <c r="AN9" s="43">
        <f t="shared" si="3"/>
        <v>19.73294931</v>
      </c>
      <c r="AO9" s="43">
        <f t="shared" si="3"/>
        <v>19.88852315</v>
      </c>
      <c r="AP9" s="43">
        <f t="shared" si="3"/>
        <v>20.03668871</v>
      </c>
      <c r="AQ9" s="43">
        <f t="shared" si="3"/>
        <v>20.17779878</v>
      </c>
      <c r="AR9" s="43">
        <f t="shared" si="3"/>
        <v>20.31218931</v>
      </c>
      <c r="AS9" s="43">
        <f t="shared" si="3"/>
        <v>20.44018029</v>
      </c>
      <c r="AT9" s="43">
        <f t="shared" si="3"/>
        <v>20.56207647</v>
      </c>
      <c r="AU9" s="43">
        <f t="shared" si="3"/>
        <v>20.67816807</v>
      </c>
      <c r="AV9" s="43">
        <f t="shared" si="3"/>
        <v>20.78873149</v>
      </c>
      <c r="AW9" s="43">
        <f t="shared" si="3"/>
        <v>20.89402999</v>
      </c>
      <c r="AX9" s="43">
        <f t="shared" si="3"/>
        <v>20.99431428</v>
      </c>
      <c r="AY9" s="43">
        <f t="shared" si="3"/>
        <v>21.08982312</v>
      </c>
      <c r="AZ9" s="43">
        <f t="shared" si="3"/>
        <v>21.18078393</v>
      </c>
      <c r="BA9" s="43">
        <f t="shared" si="3"/>
        <v>21.26741326</v>
      </c>
      <c r="BB9" s="43">
        <f t="shared" si="3"/>
        <v>21.34991739</v>
      </c>
      <c r="BC9" s="43">
        <f t="shared" si="3"/>
        <v>21.42849276</v>
      </c>
      <c r="BD9" s="43">
        <f t="shared" si="3"/>
        <v>21.50332643</v>
      </c>
      <c r="BE9" s="43">
        <f t="shared" si="3"/>
        <v>21.5745966</v>
      </c>
      <c r="BF9" s="43">
        <f t="shared" si="3"/>
        <v>21.64247296</v>
      </c>
      <c r="BG9" s="43">
        <f t="shared" si="3"/>
        <v>21.7071171</v>
      </c>
      <c r="BH9" s="43">
        <f t="shared" si="3"/>
        <v>21.76868295</v>
      </c>
      <c r="BI9" s="43">
        <f t="shared" si="3"/>
        <v>21.8273171</v>
      </c>
      <c r="BJ9" s="43">
        <f t="shared" si="3"/>
        <v>21.88315914</v>
      </c>
      <c r="BK9" s="43">
        <f t="shared" si="3"/>
        <v>21.93634204</v>
      </c>
      <c r="BL9" s="43">
        <f t="shared" si="3"/>
        <v>21.98699242</v>
      </c>
      <c r="BM9" s="43">
        <f t="shared" si="3"/>
        <v>22.03523088</v>
      </c>
      <c r="BN9" s="43">
        <f t="shared" si="3"/>
        <v>22.08117226</v>
      </c>
      <c r="BO9" s="43">
        <f t="shared" si="3"/>
        <v>22.12492596</v>
      </c>
      <c r="BP9" s="43">
        <f t="shared" si="3"/>
        <v>22.16659616</v>
      </c>
      <c r="BQ9" s="43">
        <f t="shared" si="3"/>
        <v>22.20628205</v>
      </c>
      <c r="BR9" s="43">
        <f t="shared" si="3"/>
        <v>22.24407815</v>
      </c>
      <c r="BS9" s="43">
        <f t="shared" si="3"/>
        <v>22.28007442</v>
      </c>
      <c r="BT9" s="43">
        <f t="shared" si="3"/>
        <v>22.3143566</v>
      </c>
      <c r="BU9" s="43">
        <f t="shared" si="3"/>
        <v>22.34700628</v>
      </c>
      <c r="BV9" s="43">
        <f t="shared" si="3"/>
        <v>22.37810122</v>
      </c>
      <c r="BW9" s="43">
        <f t="shared" si="3"/>
        <v>22.40771545</v>
      </c>
      <c r="BX9" s="43">
        <f t="shared" si="3"/>
        <v>22.43591947</v>
      </c>
      <c r="BY9" s="43">
        <f t="shared" si="3"/>
        <v>22.46278045</v>
      </c>
      <c r="BZ9" s="43">
        <f t="shared" si="3"/>
        <v>22.48836233</v>
      </c>
      <c r="CA9" s="43">
        <f t="shared" si="3"/>
        <v>22.51272603</v>
      </c>
      <c r="CB9" s="43">
        <f t="shared" si="3"/>
        <v>22.53592956</v>
      </c>
      <c r="CC9" s="43">
        <f t="shared" si="3"/>
        <v>22.55802815</v>
      </c>
      <c r="CD9" s="43">
        <f t="shared" si="3"/>
        <v>22.57907443</v>
      </c>
      <c r="CE9" s="43">
        <f t="shared" si="3"/>
        <v>22.5991185</v>
      </c>
      <c r="CF9" s="43">
        <f t="shared" si="3"/>
        <v>22.6182081</v>
      </c>
      <c r="CG9" s="43">
        <f t="shared" si="3"/>
        <v>22.63638866</v>
      </c>
      <c r="CH9" s="43">
        <f t="shared" si="3"/>
        <v>22.65370349</v>
      </c>
      <c r="CI9" s="43">
        <f t="shared" si="3"/>
        <v>22.6701938</v>
      </c>
      <c r="CJ9" s="43">
        <f t="shared" si="3"/>
        <v>22.68589886</v>
      </c>
      <c r="CK9" s="43">
        <f t="shared" si="3"/>
        <v>22.70085605</v>
      </c>
      <c r="CL9" s="43">
        <f t="shared" si="3"/>
        <v>22.715101</v>
      </c>
      <c r="CM9" s="43">
        <f t="shared" si="3"/>
        <v>22.72866762</v>
      </c>
      <c r="CN9" s="43">
        <f t="shared" si="3"/>
        <v>22.74158821</v>
      </c>
      <c r="CO9" s="43">
        <f t="shared" si="3"/>
        <v>22.75389353</v>
      </c>
      <c r="CP9" s="43">
        <f t="shared" si="3"/>
        <v>22.76561289</v>
      </c>
      <c r="CQ9" s="43">
        <f t="shared" si="3"/>
        <v>22.77677418</v>
      </c>
      <c r="CR9" s="43">
        <f t="shared" si="3"/>
        <v>22.78740398</v>
      </c>
      <c r="CS9" s="43">
        <f t="shared" si="3"/>
        <v>22.7975276</v>
      </c>
      <c r="CT9" s="43">
        <f t="shared" si="3"/>
        <v>22.80716914</v>
      </c>
      <c r="CU9" s="43">
        <f t="shared" si="3"/>
        <v>22.81635157</v>
      </c>
      <c r="CV9" s="43">
        <f t="shared" si="3"/>
        <v>22.82509673</v>
      </c>
    </row>
    <row r="10" ht="12.0" customHeight="1">
      <c r="A10" s="43">
        <f t="shared" ref="A10:CV10" si="4">(($B$2*((1+$B$4)^A$7)/($B$3-$B$4))/(1+$B$3)^A$7)+A9</f>
        <v>21.37742504</v>
      </c>
      <c r="B10" s="43">
        <f t="shared" si="4"/>
        <v>21.45469052</v>
      </c>
      <c r="C10" s="43">
        <f t="shared" si="4"/>
        <v>21.52827668</v>
      </c>
      <c r="D10" s="43">
        <f t="shared" si="4"/>
        <v>21.59835875</v>
      </c>
      <c r="E10" s="55">
        <f t="shared" si="4"/>
        <v>21.66510357</v>
      </c>
      <c r="F10" s="43">
        <f t="shared" si="4"/>
        <v>21.72867006</v>
      </c>
      <c r="G10" s="43">
        <f t="shared" si="4"/>
        <v>21.78920959</v>
      </c>
      <c r="H10" s="43">
        <f t="shared" si="4"/>
        <v>21.84686627</v>
      </c>
      <c r="I10" s="43">
        <f t="shared" si="4"/>
        <v>21.9017774</v>
      </c>
      <c r="J10" s="43">
        <f t="shared" si="4"/>
        <v>21.95407372</v>
      </c>
      <c r="K10" s="43">
        <f t="shared" si="4"/>
        <v>22.00387973</v>
      </c>
      <c r="L10" s="43">
        <f t="shared" si="4"/>
        <v>22.05131403</v>
      </c>
      <c r="M10" s="43">
        <f t="shared" si="4"/>
        <v>22.09648955</v>
      </c>
      <c r="N10" s="43">
        <f t="shared" si="4"/>
        <v>22.13951386</v>
      </c>
      <c r="O10" s="43">
        <f t="shared" si="4"/>
        <v>22.18048939</v>
      </c>
      <c r="P10" s="43">
        <f t="shared" si="4"/>
        <v>22.2195137</v>
      </c>
      <c r="Q10" s="43">
        <f t="shared" si="4"/>
        <v>22.25667972</v>
      </c>
      <c r="R10" s="43">
        <f t="shared" si="4"/>
        <v>22.29207592</v>
      </c>
      <c r="S10" s="43">
        <f t="shared" si="4"/>
        <v>22.32578659</v>
      </c>
      <c r="T10" s="43">
        <f t="shared" si="4"/>
        <v>22.35789199</v>
      </c>
      <c r="U10" s="43">
        <f t="shared" si="4"/>
        <v>22.38846856</v>
      </c>
      <c r="V10" s="43">
        <f t="shared" si="4"/>
        <v>22.41758911</v>
      </c>
      <c r="W10" s="43">
        <f t="shared" si="4"/>
        <v>22.44532296</v>
      </c>
      <c r="X10" s="43">
        <f t="shared" si="4"/>
        <v>22.47173615</v>
      </c>
      <c r="Y10" s="43">
        <f t="shared" si="4"/>
        <v>22.49689157</v>
      </c>
      <c r="Z10" s="43">
        <f t="shared" si="4"/>
        <v>22.52084912</v>
      </c>
      <c r="AA10" s="43">
        <f t="shared" si="4"/>
        <v>22.54366583</v>
      </c>
      <c r="AB10" s="43">
        <f t="shared" si="4"/>
        <v>22.56539603</v>
      </c>
      <c r="AC10" s="43">
        <f t="shared" si="4"/>
        <v>22.58609145</v>
      </c>
      <c r="AD10" s="43">
        <f t="shared" si="4"/>
        <v>22.60580138</v>
      </c>
      <c r="AE10" s="43">
        <f t="shared" si="4"/>
        <v>22.62457275</v>
      </c>
      <c r="AF10" s="43">
        <f t="shared" si="4"/>
        <v>22.64245023</v>
      </c>
      <c r="AG10" s="43">
        <f t="shared" si="4"/>
        <v>22.65947641</v>
      </c>
      <c r="AH10" s="43">
        <f t="shared" si="4"/>
        <v>22.67569182</v>
      </c>
      <c r="AI10" s="43">
        <f t="shared" si="4"/>
        <v>22.69113507</v>
      </c>
      <c r="AJ10" s="43">
        <f t="shared" si="4"/>
        <v>22.70584292</v>
      </c>
      <c r="AK10" s="43">
        <f t="shared" si="4"/>
        <v>22.7198504</v>
      </c>
      <c r="AL10" s="43">
        <f t="shared" si="4"/>
        <v>22.73319086</v>
      </c>
      <c r="AM10" s="43">
        <f t="shared" si="4"/>
        <v>22.74589606</v>
      </c>
      <c r="AN10" s="43">
        <f t="shared" si="4"/>
        <v>22.75799624</v>
      </c>
      <c r="AO10" s="43">
        <f t="shared" si="4"/>
        <v>22.76952023</v>
      </c>
      <c r="AP10" s="43">
        <f t="shared" si="4"/>
        <v>22.78049546</v>
      </c>
      <c r="AQ10" s="43">
        <f t="shared" si="4"/>
        <v>22.79094806</v>
      </c>
      <c r="AR10" s="43">
        <f t="shared" si="4"/>
        <v>22.80090291</v>
      </c>
      <c r="AS10" s="43">
        <f t="shared" si="4"/>
        <v>22.81038373</v>
      </c>
      <c r="AT10" s="43">
        <f t="shared" si="4"/>
        <v>22.81941307</v>
      </c>
      <c r="AU10" s="43">
        <f t="shared" si="4"/>
        <v>22.82801245</v>
      </c>
      <c r="AV10" s="43">
        <f t="shared" si="4"/>
        <v>22.83620233</v>
      </c>
      <c r="AW10" s="43">
        <f t="shared" si="4"/>
        <v>22.84400222</v>
      </c>
      <c r="AX10" s="43">
        <f t="shared" si="4"/>
        <v>22.85143069</v>
      </c>
      <c r="AY10" s="43">
        <f t="shared" si="4"/>
        <v>22.85850542</v>
      </c>
      <c r="AZ10" s="43">
        <f t="shared" si="4"/>
        <v>22.86524325</v>
      </c>
      <c r="BA10" s="43">
        <f t="shared" si="4"/>
        <v>22.87166024</v>
      </c>
      <c r="BB10" s="43">
        <f t="shared" si="4"/>
        <v>22.87777166</v>
      </c>
      <c r="BC10" s="43">
        <f t="shared" si="4"/>
        <v>22.88359206</v>
      </c>
      <c r="BD10" s="43">
        <f t="shared" si="4"/>
        <v>22.88913529</v>
      </c>
      <c r="BE10" s="43">
        <f t="shared" si="4"/>
        <v>22.89441456</v>
      </c>
      <c r="BF10" s="43">
        <f t="shared" si="4"/>
        <v>22.89944244</v>
      </c>
      <c r="BG10" s="43">
        <f t="shared" si="4"/>
        <v>22.9042309</v>
      </c>
      <c r="BH10" s="43">
        <f t="shared" si="4"/>
        <v>22.90879133</v>
      </c>
      <c r="BI10" s="43">
        <f t="shared" si="4"/>
        <v>22.9131346</v>
      </c>
      <c r="BJ10" s="43">
        <f t="shared" si="4"/>
        <v>22.91727105</v>
      </c>
      <c r="BK10" s="43">
        <f t="shared" si="4"/>
        <v>22.92121052</v>
      </c>
      <c r="BL10" s="43">
        <f t="shared" si="4"/>
        <v>22.9249624</v>
      </c>
      <c r="BM10" s="43">
        <f t="shared" si="4"/>
        <v>22.92853562</v>
      </c>
      <c r="BN10" s="43">
        <f t="shared" si="4"/>
        <v>22.93193869</v>
      </c>
      <c r="BO10" s="43">
        <f t="shared" si="4"/>
        <v>22.9351797</v>
      </c>
      <c r="BP10" s="43">
        <f t="shared" si="4"/>
        <v>22.93826638</v>
      </c>
      <c r="BQ10" s="43">
        <f t="shared" si="4"/>
        <v>22.94120608</v>
      </c>
      <c r="BR10" s="43">
        <f t="shared" si="4"/>
        <v>22.94400579</v>
      </c>
      <c r="BS10" s="43">
        <f t="shared" si="4"/>
        <v>22.94667218</v>
      </c>
      <c r="BT10" s="43">
        <f t="shared" si="4"/>
        <v>22.9492116</v>
      </c>
      <c r="BU10" s="43">
        <f t="shared" si="4"/>
        <v>22.95163009</v>
      </c>
      <c r="BV10" s="43">
        <f t="shared" si="4"/>
        <v>22.95393342</v>
      </c>
      <c r="BW10" s="43">
        <f t="shared" si="4"/>
        <v>22.95612707</v>
      </c>
      <c r="BX10" s="43">
        <f t="shared" si="4"/>
        <v>22.95821626</v>
      </c>
      <c r="BY10" s="43">
        <f t="shared" si="4"/>
        <v>22.96020596</v>
      </c>
      <c r="BZ10" s="43">
        <f t="shared" si="4"/>
        <v>22.96210091</v>
      </c>
      <c r="CA10" s="43">
        <f t="shared" si="4"/>
        <v>22.96390563</v>
      </c>
      <c r="CB10" s="43">
        <f t="shared" si="4"/>
        <v>22.96562441</v>
      </c>
      <c r="CC10" s="43">
        <f t="shared" si="4"/>
        <v>22.96726134</v>
      </c>
      <c r="CD10" s="43">
        <f t="shared" si="4"/>
        <v>22.96882033</v>
      </c>
      <c r="CE10" s="43">
        <f t="shared" si="4"/>
        <v>22.97030507</v>
      </c>
      <c r="CF10" s="43">
        <f t="shared" si="4"/>
        <v>22.97171912</v>
      </c>
      <c r="CG10" s="43">
        <f t="shared" si="4"/>
        <v>22.97306583</v>
      </c>
      <c r="CH10" s="43">
        <f t="shared" si="4"/>
        <v>22.97434841</v>
      </c>
      <c r="CI10" s="43">
        <f t="shared" si="4"/>
        <v>22.97556991</v>
      </c>
      <c r="CJ10" s="43">
        <f t="shared" si="4"/>
        <v>22.97673325</v>
      </c>
      <c r="CK10" s="43">
        <f t="shared" si="4"/>
        <v>22.97784119</v>
      </c>
      <c r="CL10" s="43">
        <f t="shared" si="4"/>
        <v>22.97889637</v>
      </c>
      <c r="CM10" s="43">
        <f t="shared" si="4"/>
        <v>22.97990131</v>
      </c>
      <c r="CN10" s="43">
        <f t="shared" si="4"/>
        <v>22.98085839</v>
      </c>
      <c r="CO10" s="43">
        <f t="shared" si="4"/>
        <v>22.98176989</v>
      </c>
      <c r="CP10" s="43">
        <f t="shared" si="4"/>
        <v>22.98263799</v>
      </c>
      <c r="CQ10" s="43">
        <f t="shared" si="4"/>
        <v>22.98346475</v>
      </c>
      <c r="CR10" s="43">
        <f t="shared" si="4"/>
        <v>22.98425215</v>
      </c>
      <c r="CS10" s="43">
        <f t="shared" si="4"/>
        <v>22.98500204</v>
      </c>
      <c r="CT10" s="43">
        <f t="shared" si="4"/>
        <v>22.98571623</v>
      </c>
      <c r="CU10" s="43">
        <f t="shared" si="4"/>
        <v>22.98639641</v>
      </c>
      <c r="CV10" s="43">
        <f t="shared" si="4"/>
        <v>22.9870442</v>
      </c>
    </row>
    <row r="11" ht="12.0" customHeight="1">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row>
    <row r="12" ht="12.0" customHeight="1">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row>
    <row r="13" ht="12.0" customHeight="1">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row>
    <row r="14" ht="12.0" customHeight="1">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row>
    <row r="15" ht="12.0" customHeight="1">
      <c r="A15" s="24"/>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row>
    <row r="16" ht="12.0" customHeight="1">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row>
    <row r="17" ht="12.0" customHeight="1">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row>
    <row r="18" ht="12.0" customHeight="1">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row>
    <row r="19" ht="12.0" customHeight="1">
      <c r="A19" s="24"/>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row>
    <row r="20" ht="12.0" customHeight="1">
      <c r="A20" s="24"/>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row>
    <row r="21" ht="12.0" customHeight="1">
      <c r="A21" s="24"/>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row>
    <row r="22" ht="12.0" customHeight="1">
      <c r="A22" s="24"/>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row>
    <row r="23" ht="12.0" customHeight="1">
      <c r="A23" s="24"/>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row>
    <row r="24" ht="12.0" customHeight="1">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row>
    <row r="25" ht="12.0" customHeight="1">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c r="CK25" s="24"/>
      <c r="CL25" s="24"/>
      <c r="CM25" s="24"/>
      <c r="CN25" s="24"/>
      <c r="CO25" s="24"/>
      <c r="CP25" s="24"/>
      <c r="CQ25" s="24"/>
      <c r="CR25" s="24"/>
      <c r="CS25" s="24"/>
      <c r="CT25" s="24"/>
      <c r="CU25" s="24"/>
      <c r="CV25" s="24"/>
    </row>
    <row r="26" ht="12.0" customHeight="1">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row>
    <row r="27" ht="12.0" customHeight="1">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row>
    <row r="28" ht="12.0" customHeight="1">
      <c r="A28" s="24"/>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c r="CM28" s="24"/>
      <c r="CN28" s="24"/>
      <c r="CO28" s="24"/>
      <c r="CP28" s="24"/>
      <c r="CQ28" s="24"/>
      <c r="CR28" s="24"/>
      <c r="CS28" s="24"/>
      <c r="CT28" s="24"/>
      <c r="CU28" s="24"/>
      <c r="CV28" s="24"/>
    </row>
    <row r="29" ht="12.0" customHeight="1">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row>
    <row r="30" ht="12.0" customHeight="1">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c r="CK30" s="24"/>
      <c r="CL30" s="24"/>
      <c r="CM30" s="24"/>
      <c r="CN30" s="24"/>
      <c r="CO30" s="24"/>
      <c r="CP30" s="24"/>
      <c r="CQ30" s="24"/>
      <c r="CR30" s="24"/>
      <c r="CS30" s="24"/>
      <c r="CT30" s="24"/>
      <c r="CU30" s="24"/>
      <c r="CV30" s="24"/>
    </row>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2">
    <mergeCell ref="D2:H2"/>
    <mergeCell ref="D3:H3"/>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13"/>
    <col customWidth="1" min="2" max="26" width="10.63"/>
  </cols>
  <sheetData>
    <row r="1" ht="12.0" customHeight="1">
      <c r="A1" s="25" t="s">
        <v>39</v>
      </c>
      <c r="B1" s="26">
        <v>4.0</v>
      </c>
      <c r="C1" s="24"/>
      <c r="D1" s="24"/>
      <c r="E1" s="24"/>
      <c r="F1" s="24"/>
      <c r="G1" s="24"/>
      <c r="H1" s="24"/>
      <c r="I1" s="24"/>
      <c r="J1" s="24"/>
    </row>
    <row r="2" ht="12.0" customHeight="1">
      <c r="A2" s="28" t="s">
        <v>40</v>
      </c>
      <c r="B2" s="28">
        <v>1.24</v>
      </c>
      <c r="C2" s="24"/>
      <c r="D2" s="24"/>
      <c r="E2" s="24"/>
      <c r="F2" s="24"/>
      <c r="G2" s="24"/>
      <c r="H2" s="24"/>
      <c r="I2" s="24"/>
      <c r="J2" s="24"/>
    </row>
    <row r="3" ht="12.0" customHeight="1">
      <c r="A3" s="29" t="s">
        <v>62</v>
      </c>
      <c r="B3" s="29">
        <v>23.0</v>
      </c>
      <c r="C3" s="24"/>
      <c r="D3" s="24"/>
      <c r="E3" s="24"/>
      <c r="F3" s="24"/>
      <c r="G3" s="24"/>
      <c r="H3" s="24"/>
      <c r="I3" s="24"/>
      <c r="J3" s="24"/>
    </row>
    <row r="4" ht="12.0" customHeight="1">
      <c r="A4" s="29" t="s">
        <v>41</v>
      </c>
      <c r="B4" s="30">
        <f>B2/B3+B5</f>
        <v>0.1339130435</v>
      </c>
      <c r="C4" s="24"/>
      <c r="D4" s="24"/>
      <c r="E4" s="24"/>
      <c r="F4" s="24"/>
      <c r="G4" s="24"/>
      <c r="H4" s="24"/>
      <c r="I4" s="24"/>
      <c r="J4" s="24"/>
    </row>
    <row r="5" ht="12.0" customHeight="1">
      <c r="A5" s="29" t="s">
        <v>42</v>
      </c>
      <c r="B5" s="30">
        <v>0.08</v>
      </c>
      <c r="C5" s="24"/>
      <c r="D5" s="24"/>
      <c r="E5" s="24"/>
      <c r="F5" s="24"/>
      <c r="G5" s="24"/>
      <c r="H5" s="24"/>
      <c r="I5" s="24"/>
      <c r="J5" s="24"/>
    </row>
    <row r="6" ht="12.0" customHeight="1">
      <c r="A6" s="31" t="s">
        <v>63</v>
      </c>
      <c r="B6" s="32">
        <f>B4*B3-B2+B3</f>
        <v>24.84</v>
      </c>
      <c r="C6" s="24"/>
      <c r="D6" s="24"/>
      <c r="E6" s="24"/>
      <c r="F6" s="24"/>
      <c r="G6" s="24"/>
      <c r="H6" s="24"/>
      <c r="I6" s="24"/>
      <c r="J6" s="24"/>
    </row>
    <row r="7" ht="12.0" customHeight="1">
      <c r="A7" s="31" t="s">
        <v>64</v>
      </c>
      <c r="B7" s="56">
        <f>B2/B3</f>
        <v>0.05391304348</v>
      </c>
      <c r="C7" s="24"/>
      <c r="D7" s="24"/>
      <c r="E7" s="24"/>
      <c r="F7" s="24"/>
      <c r="G7" s="24"/>
      <c r="H7" s="24"/>
      <c r="I7" s="24"/>
      <c r="J7" s="24"/>
    </row>
    <row r="8" ht="12.0" customHeight="1">
      <c r="A8" s="31" t="s">
        <v>65</v>
      </c>
      <c r="B8" s="56">
        <f>(B6-B3)/B3</f>
        <v>0.08</v>
      </c>
      <c r="C8" s="24"/>
      <c r="D8" s="24"/>
      <c r="E8" s="24"/>
      <c r="F8" s="24"/>
      <c r="G8" s="24"/>
      <c r="H8" s="24"/>
      <c r="I8" s="24"/>
      <c r="J8" s="24"/>
    </row>
    <row r="9" ht="12.0" customHeight="1">
      <c r="A9" s="24"/>
      <c r="B9" s="24"/>
      <c r="C9" s="24"/>
      <c r="D9" s="24"/>
      <c r="E9" s="24"/>
      <c r="F9" s="24"/>
      <c r="G9" s="24"/>
      <c r="H9" s="24"/>
      <c r="I9" s="24"/>
      <c r="J9" s="24"/>
    </row>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13"/>
    <col customWidth="1" min="2" max="2" width="6.0"/>
    <col customWidth="1" min="3" max="9" width="5.38"/>
    <col customWidth="1" min="10" max="10" width="6.0"/>
    <col customWidth="1" min="11" max="16" width="5.38"/>
    <col customWidth="1" min="17" max="26" width="10.63"/>
  </cols>
  <sheetData>
    <row r="1" ht="12.0" customHeight="1">
      <c r="A1" s="25" t="s">
        <v>39</v>
      </c>
      <c r="B1" s="26">
        <v>5.0</v>
      </c>
      <c r="C1" s="24"/>
      <c r="D1" s="24"/>
      <c r="E1" s="24"/>
      <c r="F1" s="24"/>
      <c r="G1" s="24"/>
      <c r="H1" s="24"/>
      <c r="I1" s="24"/>
      <c r="J1" s="24"/>
      <c r="K1" s="24"/>
      <c r="L1" s="24"/>
      <c r="M1" s="24"/>
      <c r="N1" s="24"/>
      <c r="O1" s="24"/>
      <c r="P1" s="24"/>
    </row>
    <row r="2" ht="12.0" customHeight="1">
      <c r="A2" s="28" t="s">
        <v>56</v>
      </c>
      <c r="B2" s="28">
        <v>1.15</v>
      </c>
      <c r="C2" s="24"/>
      <c r="D2" s="51" t="s">
        <v>57</v>
      </c>
      <c r="E2" s="52"/>
      <c r="F2" s="52"/>
      <c r="G2" s="52"/>
      <c r="H2" s="53"/>
      <c r="I2" s="54" t="s">
        <v>58</v>
      </c>
      <c r="J2" s="24" t="s">
        <v>59</v>
      </c>
      <c r="K2" s="24"/>
      <c r="L2" s="24"/>
      <c r="M2" s="24"/>
      <c r="N2" s="24"/>
      <c r="O2" s="24"/>
      <c r="P2" s="24"/>
    </row>
    <row r="3" ht="12.0" customHeight="1">
      <c r="A3" s="29" t="s">
        <v>41</v>
      </c>
      <c r="B3" s="30">
        <v>0.134</v>
      </c>
      <c r="C3" s="24"/>
      <c r="D3" s="51" t="s">
        <v>60</v>
      </c>
      <c r="E3" s="52"/>
      <c r="F3" s="52"/>
      <c r="G3" s="52"/>
      <c r="H3" s="53"/>
      <c r="I3" s="54" t="s">
        <v>58</v>
      </c>
      <c r="J3" s="24" t="s">
        <v>61</v>
      </c>
      <c r="K3" s="24"/>
      <c r="L3" s="24"/>
      <c r="M3" s="24"/>
      <c r="N3" s="24"/>
      <c r="O3" s="24"/>
      <c r="P3" s="24"/>
    </row>
    <row r="4" ht="12.0" customHeight="1">
      <c r="A4" s="29" t="s">
        <v>66</v>
      </c>
      <c r="B4" s="30">
        <v>0.3</v>
      </c>
      <c r="C4" s="39"/>
      <c r="D4" s="24"/>
      <c r="E4" s="24"/>
      <c r="F4" s="24"/>
      <c r="G4" s="24"/>
      <c r="H4" s="24"/>
      <c r="I4" s="24"/>
      <c r="J4" s="24"/>
      <c r="K4" s="24"/>
      <c r="L4" s="24"/>
      <c r="M4" s="24"/>
      <c r="N4" s="24"/>
      <c r="O4" s="24"/>
      <c r="P4" s="24"/>
    </row>
    <row r="5" ht="12.0" customHeight="1">
      <c r="A5" s="45" t="s">
        <v>67</v>
      </c>
      <c r="B5" s="57">
        <v>0.08</v>
      </c>
      <c r="C5" s="24"/>
      <c r="D5" s="24"/>
      <c r="E5" s="24"/>
      <c r="F5" s="24"/>
      <c r="G5" s="24"/>
      <c r="H5" s="24"/>
      <c r="I5" s="24"/>
      <c r="J5" s="24"/>
      <c r="K5" s="24"/>
      <c r="L5" s="24"/>
      <c r="M5" s="24"/>
      <c r="N5" s="24"/>
      <c r="O5" s="24"/>
      <c r="P5" s="24"/>
    </row>
    <row r="6" ht="12.0" customHeight="1">
      <c r="A6" s="24"/>
      <c r="B6" s="24"/>
      <c r="C6" s="24"/>
      <c r="D6" s="24"/>
      <c r="E6" s="24"/>
      <c r="F6" s="24"/>
      <c r="G6" s="24"/>
      <c r="H6" s="24"/>
      <c r="I6" s="24"/>
      <c r="J6" s="24"/>
      <c r="K6" s="24"/>
      <c r="L6" s="24"/>
      <c r="M6" s="24"/>
      <c r="N6" s="24"/>
      <c r="O6" s="24"/>
      <c r="P6" s="24"/>
    </row>
    <row r="7" ht="12.0" customHeight="1">
      <c r="A7" s="24" t="s">
        <v>68</v>
      </c>
      <c r="B7" s="24">
        <v>1.0</v>
      </c>
      <c r="C7" s="24">
        <f t="shared" ref="C7:E7" si="1">+B7+1</f>
        <v>2</v>
      </c>
      <c r="D7" s="24">
        <f t="shared" si="1"/>
        <v>3</v>
      </c>
      <c r="E7" s="24">
        <f t="shared" si="1"/>
        <v>4</v>
      </c>
      <c r="F7" s="24"/>
      <c r="G7" s="24"/>
      <c r="H7" s="24"/>
      <c r="I7" s="24"/>
      <c r="J7" s="24"/>
      <c r="K7" s="24"/>
      <c r="L7" s="24"/>
      <c r="M7" s="24"/>
      <c r="N7" s="24"/>
      <c r="O7" s="24"/>
      <c r="P7" s="24"/>
    </row>
    <row r="8" ht="12.0" customHeight="1">
      <c r="A8" s="24" t="s">
        <v>69</v>
      </c>
      <c r="B8" s="43">
        <f t="shared" ref="B8:D8" si="2">$B$2*(1+$B$4)^B$7/(1+$B$3)^B$7</f>
        <v>1.318342152</v>
      </c>
      <c r="C8" s="43">
        <f t="shared" si="2"/>
        <v>1.511326982</v>
      </c>
      <c r="D8" s="43">
        <f t="shared" si="2"/>
        <v>1.732561796</v>
      </c>
      <c r="E8" s="43">
        <v>0.0</v>
      </c>
      <c r="F8" s="43"/>
      <c r="G8" s="43"/>
      <c r="H8" s="43"/>
      <c r="I8" s="43"/>
      <c r="J8" s="43"/>
      <c r="K8" s="43"/>
      <c r="L8" s="43"/>
      <c r="M8" s="43"/>
      <c r="N8" s="43"/>
      <c r="O8" s="43"/>
      <c r="P8" s="43"/>
    </row>
    <row r="9" ht="12.0" customHeight="1">
      <c r="A9" s="24" t="s">
        <v>70</v>
      </c>
      <c r="B9" s="43">
        <v>0.0</v>
      </c>
      <c r="C9" s="43">
        <v>0.0</v>
      </c>
      <c r="D9" s="43">
        <v>0.0</v>
      </c>
      <c r="E9" s="43">
        <f>D8*(1+$B$5)/($B$3-$B$5)/(1+$B$3)^D$7</f>
        <v>23.76181255</v>
      </c>
      <c r="F9" s="43"/>
      <c r="G9" s="43"/>
      <c r="H9" s="43"/>
      <c r="I9" s="43"/>
      <c r="J9" s="43"/>
      <c r="K9" s="43"/>
      <c r="L9" s="43"/>
      <c r="M9" s="43"/>
      <c r="N9" s="43"/>
      <c r="O9" s="43"/>
      <c r="P9" s="43"/>
    </row>
    <row r="10" ht="12.0" customHeight="1">
      <c r="A10" s="58" t="s">
        <v>43</v>
      </c>
      <c r="B10" s="55"/>
      <c r="C10" s="55"/>
      <c r="D10" s="55"/>
      <c r="E10" s="55">
        <f>SUM($B$8:E8)+E9</f>
        <v>28.32404348</v>
      </c>
      <c r="F10" s="43"/>
      <c r="G10" s="43"/>
      <c r="H10" s="43"/>
      <c r="I10" s="43"/>
      <c r="J10" s="43"/>
      <c r="K10" s="43"/>
      <c r="L10" s="43"/>
      <c r="M10" s="43"/>
      <c r="N10" s="43"/>
      <c r="O10" s="43"/>
      <c r="P10" s="43"/>
    </row>
    <row r="11" ht="12.0" customHeight="1">
      <c r="A11" s="43"/>
      <c r="B11" s="43"/>
      <c r="C11" s="43"/>
      <c r="D11" s="43"/>
      <c r="E11" s="43"/>
      <c r="F11" s="43"/>
      <c r="G11" s="43"/>
      <c r="H11" s="43"/>
      <c r="I11" s="43"/>
      <c r="J11" s="43"/>
      <c r="K11" s="43"/>
      <c r="L11" s="43"/>
      <c r="M11" s="43"/>
      <c r="N11" s="43"/>
      <c r="O11" s="43"/>
      <c r="P11" s="43"/>
    </row>
    <row r="12" ht="12.0" customHeight="1">
      <c r="A12" s="43"/>
      <c r="B12" s="43"/>
      <c r="C12" s="43"/>
      <c r="D12" s="43"/>
      <c r="E12" s="43"/>
      <c r="F12" s="43"/>
      <c r="G12" s="43"/>
      <c r="H12" s="43"/>
      <c r="I12" s="43"/>
      <c r="J12" s="43"/>
      <c r="K12" s="43"/>
      <c r="L12" s="43"/>
      <c r="M12" s="43"/>
      <c r="N12" s="43"/>
      <c r="O12" s="43"/>
      <c r="P12" s="43"/>
    </row>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2">
    <mergeCell ref="D2:H2"/>
    <mergeCell ref="D3:H3"/>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13"/>
    <col customWidth="1" min="2" max="2" width="6.38"/>
    <col customWidth="1" min="3" max="9" width="5.38"/>
    <col customWidth="1" min="10" max="10" width="6.0"/>
    <col customWidth="1" min="11" max="12" width="5.38"/>
    <col customWidth="1" min="13" max="26" width="10.63"/>
  </cols>
  <sheetData>
    <row r="1" ht="12.0" customHeight="1">
      <c r="A1" s="25" t="s">
        <v>39</v>
      </c>
      <c r="B1" s="26">
        <v>6.0</v>
      </c>
      <c r="C1" s="24"/>
      <c r="D1" s="24"/>
      <c r="E1" s="24"/>
      <c r="F1" s="24"/>
      <c r="G1" s="24"/>
      <c r="H1" s="24"/>
      <c r="I1" s="24"/>
      <c r="J1" s="24"/>
      <c r="K1" s="24"/>
      <c r="L1" s="24"/>
    </row>
    <row r="2" ht="12.0" customHeight="1">
      <c r="A2" s="28" t="s">
        <v>56</v>
      </c>
      <c r="B2" s="28">
        <v>10.0</v>
      </c>
      <c r="C2" s="24"/>
      <c r="D2" s="24"/>
      <c r="E2" s="24"/>
      <c r="F2" s="24"/>
      <c r="G2" s="24"/>
      <c r="H2" s="24"/>
      <c r="I2" s="24"/>
      <c r="J2" s="24"/>
      <c r="K2" s="24"/>
      <c r="L2" s="24"/>
    </row>
    <row r="3" ht="12.0" customHeight="1">
      <c r="A3" s="29" t="s">
        <v>41</v>
      </c>
      <c r="B3" s="30">
        <v>0.1</v>
      </c>
      <c r="C3" s="24"/>
      <c r="D3" s="24"/>
      <c r="E3" s="24"/>
      <c r="F3" s="24"/>
      <c r="G3" s="24"/>
      <c r="H3" s="24"/>
      <c r="I3" s="24"/>
      <c r="J3" s="24"/>
      <c r="K3" s="24"/>
      <c r="L3" s="24"/>
    </row>
    <row r="4" ht="12.0" customHeight="1">
      <c r="A4" s="45" t="s">
        <v>42</v>
      </c>
      <c r="B4" s="57">
        <v>0.0</v>
      </c>
      <c r="C4" s="24"/>
      <c r="D4" s="24"/>
      <c r="E4" s="24"/>
      <c r="F4" s="24"/>
      <c r="G4" s="24"/>
      <c r="H4" s="24"/>
      <c r="I4" s="24"/>
      <c r="J4" s="24"/>
      <c r="K4" s="24"/>
      <c r="L4" s="24"/>
    </row>
    <row r="5" ht="12.0" customHeight="1">
      <c r="A5" s="31" t="s">
        <v>43</v>
      </c>
      <c r="B5" s="32">
        <f>B2/(B3-B4)</f>
        <v>100</v>
      </c>
      <c r="C5" s="24"/>
      <c r="D5" s="24"/>
      <c r="E5" s="24"/>
      <c r="F5" s="24"/>
      <c r="G5" s="24"/>
      <c r="H5" s="24"/>
      <c r="I5" s="24"/>
      <c r="J5" s="24"/>
      <c r="K5" s="24"/>
      <c r="L5" s="24"/>
    </row>
    <row r="6" ht="12.0" customHeight="1">
      <c r="A6" s="24"/>
      <c r="B6" s="24"/>
      <c r="C6" s="24"/>
      <c r="D6" s="24"/>
      <c r="E6" s="24"/>
      <c r="F6" s="24"/>
      <c r="G6" s="24"/>
      <c r="H6" s="24"/>
      <c r="I6" s="24"/>
      <c r="J6" s="24"/>
      <c r="K6" s="24"/>
      <c r="L6" s="24"/>
    </row>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13"/>
    <col customWidth="1" min="2" max="2" width="7.88"/>
    <col customWidth="1" min="3" max="17" width="5.38"/>
    <col customWidth="1" min="18" max="18" width="7.38"/>
    <col customWidth="1" min="19" max="26" width="10.63"/>
  </cols>
  <sheetData>
    <row r="1" ht="12.0" customHeight="1">
      <c r="A1" s="25" t="s">
        <v>39</v>
      </c>
      <c r="B1" s="26">
        <v>7.0</v>
      </c>
      <c r="C1" s="24"/>
      <c r="D1" s="24"/>
      <c r="E1" s="24"/>
      <c r="F1" s="24"/>
      <c r="G1" s="24"/>
      <c r="H1" s="24"/>
      <c r="I1" s="24"/>
      <c r="J1" s="24"/>
      <c r="K1" s="24"/>
      <c r="L1" s="24"/>
      <c r="M1" s="24"/>
      <c r="N1" s="24"/>
      <c r="O1" s="24"/>
      <c r="P1" s="24"/>
      <c r="Q1" s="24"/>
      <c r="R1" s="24"/>
    </row>
    <row r="2" ht="12.0" customHeight="1">
      <c r="A2" s="28" t="s">
        <v>71</v>
      </c>
      <c r="B2" s="28">
        <v>1000.0</v>
      </c>
      <c r="C2" s="24"/>
      <c r="D2" s="24"/>
      <c r="E2" s="24"/>
      <c r="F2" s="24"/>
      <c r="G2" s="24"/>
      <c r="H2" s="24"/>
      <c r="I2" s="24"/>
      <c r="J2" s="24"/>
      <c r="K2" s="24"/>
      <c r="L2" s="24"/>
      <c r="M2" s="24"/>
      <c r="N2" s="24"/>
      <c r="O2" s="24"/>
      <c r="P2" s="24"/>
      <c r="Q2" s="24"/>
      <c r="R2" s="24"/>
    </row>
    <row r="3" ht="12.0" customHeight="1">
      <c r="A3" s="29" t="s">
        <v>72</v>
      </c>
      <c r="B3" s="29">
        <v>15.0</v>
      </c>
      <c r="C3" s="24"/>
      <c r="D3" s="24"/>
      <c r="E3" s="24"/>
      <c r="F3" s="24"/>
      <c r="G3" s="24"/>
      <c r="H3" s="24"/>
      <c r="I3" s="24"/>
      <c r="J3" s="24"/>
      <c r="K3" s="24"/>
      <c r="L3" s="24"/>
      <c r="M3" s="24"/>
      <c r="N3" s="24"/>
      <c r="O3" s="24"/>
      <c r="P3" s="24"/>
      <c r="Q3" s="24"/>
      <c r="R3" s="24"/>
    </row>
    <row r="4" ht="12.0" customHeight="1">
      <c r="A4" s="29" t="s">
        <v>73</v>
      </c>
      <c r="B4" s="30">
        <v>0.1</v>
      </c>
      <c r="C4" s="24"/>
      <c r="D4" s="24"/>
      <c r="E4" s="24"/>
      <c r="F4" s="24"/>
      <c r="G4" s="24"/>
      <c r="H4" s="24"/>
      <c r="I4" s="24"/>
      <c r="J4" s="24"/>
      <c r="K4" s="24"/>
      <c r="L4" s="24"/>
      <c r="M4" s="24"/>
      <c r="N4" s="24"/>
      <c r="O4" s="24"/>
      <c r="P4" s="24"/>
      <c r="Q4" s="24"/>
      <c r="R4" s="24"/>
    </row>
    <row r="5" ht="12.0" customHeight="1">
      <c r="A5" s="29" t="s">
        <v>74</v>
      </c>
      <c r="B5" s="29">
        <f>+B4*B2</f>
        <v>100</v>
      </c>
      <c r="C5" s="24"/>
      <c r="D5" s="24"/>
      <c r="E5" s="24"/>
      <c r="F5" s="24"/>
      <c r="G5" s="24"/>
      <c r="H5" s="24"/>
      <c r="I5" s="24"/>
      <c r="J5" s="24"/>
      <c r="K5" s="24"/>
      <c r="L5" s="24"/>
      <c r="M5" s="24"/>
      <c r="N5" s="24"/>
      <c r="O5" s="24"/>
      <c r="P5" s="24"/>
      <c r="Q5" s="24"/>
      <c r="R5" s="24"/>
    </row>
    <row r="6" ht="12.0" customHeight="1">
      <c r="A6" s="45" t="s">
        <v>41</v>
      </c>
      <c r="B6" s="57">
        <v>0.1</v>
      </c>
      <c r="C6" s="24"/>
      <c r="D6" s="24">
        <v>1.0</v>
      </c>
      <c r="E6" s="24">
        <f t="shared" ref="E6:R6" si="1">+D6+1</f>
        <v>2</v>
      </c>
      <c r="F6" s="24">
        <f t="shared" si="1"/>
        <v>3</v>
      </c>
      <c r="G6" s="24">
        <f t="shared" si="1"/>
        <v>4</v>
      </c>
      <c r="H6" s="24">
        <f t="shared" si="1"/>
        <v>5</v>
      </c>
      <c r="I6" s="24">
        <f t="shared" si="1"/>
        <v>6</v>
      </c>
      <c r="J6" s="24">
        <f t="shared" si="1"/>
        <v>7</v>
      </c>
      <c r="K6" s="24">
        <f t="shared" si="1"/>
        <v>8</v>
      </c>
      <c r="L6" s="24">
        <f t="shared" si="1"/>
        <v>9</v>
      </c>
      <c r="M6" s="24">
        <f t="shared" si="1"/>
        <v>10</v>
      </c>
      <c r="N6" s="24">
        <f t="shared" si="1"/>
        <v>11</v>
      </c>
      <c r="O6" s="24">
        <f t="shared" si="1"/>
        <v>12</v>
      </c>
      <c r="P6" s="24">
        <f t="shared" si="1"/>
        <v>13</v>
      </c>
      <c r="Q6" s="24">
        <f t="shared" si="1"/>
        <v>14</v>
      </c>
      <c r="R6" s="24">
        <f t="shared" si="1"/>
        <v>15</v>
      </c>
    </row>
    <row r="7" ht="12.0" customHeight="1">
      <c r="A7" s="31" t="s">
        <v>75</v>
      </c>
      <c r="B7" s="32">
        <f t="shared" ref="B7:B9" si="3">+R7</f>
        <v>23.93920494</v>
      </c>
      <c r="C7" s="24"/>
      <c r="D7" s="59">
        <f t="shared" ref="D7:R7" si="2">$B$5/(1+$B$6)^D$6</f>
        <v>90.90909091</v>
      </c>
      <c r="E7" s="59">
        <f t="shared" si="2"/>
        <v>82.6446281</v>
      </c>
      <c r="F7" s="59">
        <f t="shared" si="2"/>
        <v>75.13148009</v>
      </c>
      <c r="G7" s="59">
        <f t="shared" si="2"/>
        <v>68.30134554</v>
      </c>
      <c r="H7" s="59">
        <f t="shared" si="2"/>
        <v>62.09213231</v>
      </c>
      <c r="I7" s="59">
        <f t="shared" si="2"/>
        <v>56.44739301</v>
      </c>
      <c r="J7" s="59">
        <f t="shared" si="2"/>
        <v>51.31581182</v>
      </c>
      <c r="K7" s="59">
        <f t="shared" si="2"/>
        <v>46.65073802</v>
      </c>
      <c r="L7" s="59">
        <f t="shared" si="2"/>
        <v>42.40976184</v>
      </c>
      <c r="M7" s="59">
        <f t="shared" si="2"/>
        <v>38.55432894</v>
      </c>
      <c r="N7" s="59">
        <f t="shared" si="2"/>
        <v>35.04938995</v>
      </c>
      <c r="O7" s="59">
        <f t="shared" si="2"/>
        <v>31.86308177</v>
      </c>
      <c r="P7" s="59">
        <f t="shared" si="2"/>
        <v>28.96643797</v>
      </c>
      <c r="Q7" s="59">
        <f t="shared" si="2"/>
        <v>26.33312543</v>
      </c>
      <c r="R7" s="59">
        <f t="shared" si="2"/>
        <v>23.93920494</v>
      </c>
    </row>
    <row r="8" ht="12.0" customHeight="1">
      <c r="A8" s="31" t="s">
        <v>76</v>
      </c>
      <c r="B8" s="32">
        <f t="shared" si="3"/>
        <v>239.3920494</v>
      </c>
      <c r="C8" s="24"/>
      <c r="D8" s="59">
        <v>0.0</v>
      </c>
      <c r="E8" s="59">
        <v>0.0</v>
      </c>
      <c r="F8" s="59">
        <v>0.0</v>
      </c>
      <c r="G8" s="59">
        <v>0.0</v>
      </c>
      <c r="H8" s="59">
        <v>0.0</v>
      </c>
      <c r="I8" s="59">
        <v>0.0</v>
      </c>
      <c r="J8" s="59">
        <v>0.0</v>
      </c>
      <c r="K8" s="59">
        <v>0.0</v>
      </c>
      <c r="L8" s="59">
        <v>0.0</v>
      </c>
      <c r="M8" s="59">
        <v>0.0</v>
      </c>
      <c r="N8" s="59">
        <v>0.0</v>
      </c>
      <c r="O8" s="59">
        <v>0.0</v>
      </c>
      <c r="P8" s="59">
        <v>0.0</v>
      </c>
      <c r="Q8" s="59">
        <v>0.0</v>
      </c>
      <c r="R8" s="59">
        <f>$B$2/(1+$B$6)^R$6</f>
        <v>239.3920494</v>
      </c>
    </row>
    <row r="9" ht="12.0" customHeight="1">
      <c r="A9" s="31" t="s">
        <v>77</v>
      </c>
      <c r="B9" s="32">
        <f t="shared" si="3"/>
        <v>1000</v>
      </c>
      <c r="C9" s="24"/>
      <c r="D9" s="24"/>
      <c r="E9" s="24"/>
      <c r="F9" s="24"/>
      <c r="G9" s="24"/>
      <c r="H9" s="24"/>
      <c r="I9" s="24"/>
      <c r="J9" s="24"/>
      <c r="K9" s="24"/>
      <c r="L9" s="24"/>
      <c r="M9" s="24"/>
      <c r="N9" s="24"/>
      <c r="O9" s="24"/>
      <c r="P9" s="24"/>
      <c r="Q9" s="24"/>
      <c r="R9" s="59">
        <f>SUM(D7:R7)+R8</f>
        <v>1000</v>
      </c>
    </row>
    <row r="10" ht="12.0" customHeight="1">
      <c r="A10" s="24"/>
      <c r="B10" s="24"/>
      <c r="C10" s="24"/>
      <c r="D10" s="24"/>
      <c r="E10" s="24"/>
      <c r="F10" s="24"/>
      <c r="G10" s="24"/>
      <c r="H10" s="24"/>
      <c r="I10" s="24"/>
      <c r="J10" s="24"/>
      <c r="K10" s="24"/>
      <c r="L10" s="24"/>
      <c r="M10" s="24"/>
      <c r="N10" s="24"/>
      <c r="O10" s="24"/>
      <c r="P10" s="24"/>
      <c r="Q10" s="24"/>
      <c r="R10" s="24"/>
    </row>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6.13"/>
    <col customWidth="1" min="2" max="2" width="7.88"/>
    <col customWidth="1" min="3" max="3" width="8.0"/>
    <col customWidth="1" min="4" max="17" width="5.38"/>
    <col customWidth="1" min="18" max="18" width="7.38"/>
    <col customWidth="1" min="19" max="19" width="2.88"/>
    <col customWidth="1" min="20" max="26" width="10.63"/>
  </cols>
  <sheetData>
    <row r="1" ht="12.0" customHeight="1">
      <c r="A1" s="25" t="s">
        <v>39</v>
      </c>
      <c r="B1" s="26">
        <v>8.0</v>
      </c>
      <c r="C1" s="24"/>
      <c r="D1" s="24"/>
      <c r="E1" s="24"/>
      <c r="F1" s="24"/>
      <c r="G1" s="24"/>
      <c r="H1" s="24"/>
      <c r="I1" s="24"/>
      <c r="J1" s="24"/>
      <c r="K1" s="24"/>
      <c r="L1" s="24"/>
      <c r="M1" s="24"/>
      <c r="N1" s="24"/>
      <c r="O1" s="24"/>
      <c r="P1" s="24"/>
      <c r="Q1" s="24"/>
      <c r="R1" s="24"/>
      <c r="S1" s="24"/>
    </row>
    <row r="2" ht="12.0" customHeight="1">
      <c r="A2" s="28" t="s">
        <v>71</v>
      </c>
      <c r="B2" s="28">
        <v>1000.0</v>
      </c>
      <c r="C2" s="24"/>
      <c r="D2" s="24"/>
      <c r="E2" s="24"/>
      <c r="F2" s="24"/>
      <c r="G2" s="24"/>
      <c r="H2" s="24"/>
      <c r="I2" s="24"/>
      <c r="J2" s="24"/>
      <c r="K2" s="24"/>
      <c r="L2" s="24"/>
      <c r="M2" s="24"/>
      <c r="N2" s="24"/>
      <c r="O2" s="24"/>
      <c r="P2" s="24"/>
      <c r="Q2" s="24"/>
      <c r="R2" s="24"/>
      <c r="S2" s="24"/>
    </row>
    <row r="3" ht="12.0" customHeight="1">
      <c r="A3" s="29" t="s">
        <v>72</v>
      </c>
      <c r="B3" s="29">
        <v>15.0</v>
      </c>
      <c r="C3" s="24"/>
      <c r="D3" s="24"/>
      <c r="E3" s="24"/>
      <c r="F3" s="24"/>
      <c r="G3" s="24"/>
      <c r="H3" s="24"/>
      <c r="I3" s="24"/>
      <c r="J3" s="24"/>
      <c r="K3" s="24"/>
      <c r="L3" s="24"/>
      <c r="M3" s="24"/>
      <c r="N3" s="24"/>
      <c r="O3" s="24"/>
      <c r="P3" s="24"/>
      <c r="Q3" s="24"/>
      <c r="R3" s="24"/>
      <c r="S3" s="24"/>
    </row>
    <row r="4" ht="12.0" customHeight="1">
      <c r="A4" s="29" t="s">
        <v>73</v>
      </c>
      <c r="B4" s="30">
        <v>0.1</v>
      </c>
      <c r="C4" s="24"/>
      <c r="D4" s="24"/>
      <c r="E4" s="24"/>
      <c r="F4" s="24"/>
      <c r="G4" s="24"/>
      <c r="H4" s="24"/>
      <c r="I4" s="24"/>
      <c r="J4" s="24"/>
      <c r="K4" s="24"/>
      <c r="L4" s="24"/>
      <c r="M4" s="24"/>
      <c r="N4" s="24"/>
      <c r="O4" s="24"/>
      <c r="P4" s="24"/>
      <c r="Q4" s="24"/>
      <c r="R4" s="24"/>
      <c r="S4" s="24"/>
    </row>
    <row r="5" ht="12.0" customHeight="1">
      <c r="A5" s="29" t="s">
        <v>74</v>
      </c>
      <c r="B5" s="29">
        <f>+B4*B2</f>
        <v>100</v>
      </c>
      <c r="C5" s="24"/>
      <c r="D5" s="24"/>
      <c r="E5" s="24"/>
      <c r="F5" s="24"/>
      <c r="G5" s="24"/>
      <c r="H5" s="24"/>
      <c r="I5" s="24"/>
      <c r="J5" s="24"/>
      <c r="K5" s="24"/>
      <c r="L5" s="24"/>
      <c r="M5" s="24"/>
      <c r="N5" s="24"/>
      <c r="O5" s="24"/>
      <c r="P5" s="24"/>
      <c r="Q5" s="24"/>
      <c r="R5" s="24"/>
      <c r="S5" s="24"/>
    </row>
    <row r="6" ht="12.0" customHeight="1">
      <c r="A6" s="29" t="s">
        <v>78</v>
      </c>
      <c r="B6" s="30">
        <v>0.1</v>
      </c>
      <c r="C6" s="24"/>
      <c r="D6" s="24"/>
      <c r="E6" s="24"/>
      <c r="F6" s="24"/>
      <c r="G6" s="24"/>
      <c r="H6" s="24"/>
      <c r="I6" s="24"/>
      <c r="J6" s="24"/>
      <c r="K6" s="24"/>
      <c r="L6" s="24"/>
      <c r="M6" s="24"/>
      <c r="N6" s="24"/>
      <c r="O6" s="24"/>
      <c r="P6" s="24"/>
      <c r="Q6" s="24"/>
      <c r="R6" s="24"/>
      <c r="S6" s="24"/>
    </row>
    <row r="7" ht="12.0" customHeight="1">
      <c r="A7" s="29" t="s">
        <v>79</v>
      </c>
      <c r="B7" s="60">
        <v>0.15</v>
      </c>
      <c r="C7" s="24"/>
      <c r="D7" s="24"/>
      <c r="E7" s="24"/>
      <c r="F7" s="24"/>
      <c r="G7" s="24"/>
      <c r="H7" s="24"/>
      <c r="I7" s="24"/>
      <c r="J7" s="24"/>
      <c r="K7" s="24"/>
      <c r="L7" s="24"/>
      <c r="M7" s="24"/>
      <c r="N7" s="24"/>
      <c r="O7" s="24"/>
      <c r="P7" s="24"/>
      <c r="Q7" s="24"/>
      <c r="R7" s="24"/>
      <c r="S7" s="24"/>
    </row>
    <row r="8" ht="12.0" customHeight="1">
      <c r="A8" s="45" t="s">
        <v>80</v>
      </c>
      <c r="B8" s="61">
        <v>0.05</v>
      </c>
      <c r="C8" s="24"/>
      <c r="D8" s="24">
        <v>1.0</v>
      </c>
      <c r="E8" s="24">
        <f t="shared" ref="E8:R8" si="1">+D8+1</f>
        <v>2</v>
      </c>
      <c r="F8" s="24">
        <f t="shared" si="1"/>
        <v>3</v>
      </c>
      <c r="G8" s="24">
        <f t="shared" si="1"/>
        <v>4</v>
      </c>
      <c r="H8" s="24">
        <f t="shared" si="1"/>
        <v>5</v>
      </c>
      <c r="I8" s="24">
        <f t="shared" si="1"/>
        <v>6</v>
      </c>
      <c r="J8" s="24">
        <f t="shared" si="1"/>
        <v>7</v>
      </c>
      <c r="K8" s="24">
        <f t="shared" si="1"/>
        <v>8</v>
      </c>
      <c r="L8" s="24">
        <f t="shared" si="1"/>
        <v>9</v>
      </c>
      <c r="M8" s="24">
        <f t="shared" si="1"/>
        <v>10</v>
      </c>
      <c r="N8" s="24">
        <f t="shared" si="1"/>
        <v>11</v>
      </c>
      <c r="O8" s="24">
        <f t="shared" si="1"/>
        <v>12</v>
      </c>
      <c r="P8" s="24">
        <f t="shared" si="1"/>
        <v>13</v>
      </c>
      <c r="Q8" s="24">
        <f t="shared" si="1"/>
        <v>14</v>
      </c>
      <c r="R8" s="24">
        <f t="shared" si="1"/>
        <v>15</v>
      </c>
      <c r="S8" s="24"/>
    </row>
    <row r="9" ht="12.0" customHeight="1">
      <c r="A9" s="31" t="s">
        <v>75</v>
      </c>
      <c r="B9" s="32">
        <f t="shared" ref="B9:B11" si="5">+R9</f>
        <v>48.10170981</v>
      </c>
      <c r="C9" s="24"/>
      <c r="D9" s="59">
        <f t="shared" ref="D9:H9" si="2">$B$5/(1+$B$6)^D$8</f>
        <v>90.90909091</v>
      </c>
      <c r="E9" s="59">
        <f t="shared" si="2"/>
        <v>82.6446281</v>
      </c>
      <c r="F9" s="59">
        <f t="shared" si="2"/>
        <v>75.13148009</v>
      </c>
      <c r="G9" s="59">
        <f t="shared" si="2"/>
        <v>68.30134554</v>
      </c>
      <c r="H9" s="59">
        <f t="shared" si="2"/>
        <v>62.09213231</v>
      </c>
      <c r="I9" s="59">
        <f t="shared" ref="I9:M9" si="3">$B$5/(1+$B$7)^I$8</f>
        <v>43.23275959</v>
      </c>
      <c r="J9" s="59">
        <f t="shared" si="3"/>
        <v>37.59370399</v>
      </c>
      <c r="K9" s="59">
        <f t="shared" si="3"/>
        <v>32.69017738</v>
      </c>
      <c r="L9" s="59">
        <f t="shared" si="3"/>
        <v>28.4262412</v>
      </c>
      <c r="M9" s="59">
        <f t="shared" si="3"/>
        <v>24.71847061</v>
      </c>
      <c r="N9" s="59">
        <f t="shared" ref="N9:R9" si="4">$B$5/(1+$B$8)^N$8</f>
        <v>58.46792891</v>
      </c>
      <c r="O9" s="59">
        <f t="shared" si="4"/>
        <v>55.68374182</v>
      </c>
      <c r="P9" s="59">
        <f t="shared" si="4"/>
        <v>53.03213506</v>
      </c>
      <c r="Q9" s="59">
        <f t="shared" si="4"/>
        <v>50.5067953</v>
      </c>
      <c r="R9" s="59">
        <f t="shared" si="4"/>
        <v>48.10170981</v>
      </c>
      <c r="S9" s="24"/>
    </row>
    <row r="10" ht="12.0" customHeight="1">
      <c r="A10" s="31" t="s">
        <v>76</v>
      </c>
      <c r="B10" s="32">
        <f t="shared" si="5"/>
        <v>239.3920494</v>
      </c>
      <c r="C10" s="24"/>
      <c r="D10" s="59">
        <v>0.0</v>
      </c>
      <c r="E10" s="59">
        <v>0.0</v>
      </c>
      <c r="F10" s="59">
        <v>0.0</v>
      </c>
      <c r="G10" s="59">
        <v>0.0</v>
      </c>
      <c r="H10" s="59">
        <v>0.0</v>
      </c>
      <c r="I10" s="59">
        <v>0.0</v>
      </c>
      <c r="J10" s="59">
        <v>0.0</v>
      </c>
      <c r="K10" s="59">
        <v>0.0</v>
      </c>
      <c r="L10" s="59">
        <v>0.0</v>
      </c>
      <c r="M10" s="59">
        <v>0.0</v>
      </c>
      <c r="N10" s="59">
        <v>0.0</v>
      </c>
      <c r="O10" s="59">
        <v>0.0</v>
      </c>
      <c r="P10" s="59">
        <v>0.0</v>
      </c>
      <c r="Q10" s="59">
        <v>0.0</v>
      </c>
      <c r="R10" s="59">
        <f>$B$2/(1+$B$6)^R$8</f>
        <v>239.3920494</v>
      </c>
      <c r="S10" s="24"/>
    </row>
    <row r="11" ht="12.0" customHeight="1">
      <c r="A11" s="31" t="s">
        <v>77</v>
      </c>
      <c r="B11" s="32">
        <f t="shared" si="5"/>
        <v>1050.92439</v>
      </c>
      <c r="C11" s="24"/>
      <c r="D11" s="24"/>
      <c r="E11" s="24"/>
      <c r="F11" s="24"/>
      <c r="G11" s="24"/>
      <c r="H11" s="24"/>
      <c r="I11" s="24"/>
      <c r="J11" s="24"/>
      <c r="K11" s="24"/>
      <c r="L11" s="24"/>
      <c r="M11" s="24"/>
      <c r="N11" s="24"/>
      <c r="O11" s="24"/>
      <c r="P11" s="24"/>
      <c r="Q11" s="24"/>
      <c r="R11" s="62">
        <f>SUM(D9:R9)+R10</f>
        <v>1050.92439</v>
      </c>
      <c r="S11" s="24"/>
    </row>
    <row r="12" ht="12.0" customHeight="1">
      <c r="A12" s="25" t="s">
        <v>39</v>
      </c>
      <c r="B12" s="26">
        <v>9.0</v>
      </c>
      <c r="C12" s="24"/>
      <c r="D12" s="24">
        <v>1.0</v>
      </c>
      <c r="E12" s="24">
        <f t="shared" ref="E12:Q12" si="6">+D12+1</f>
        <v>2</v>
      </c>
      <c r="F12" s="24">
        <f t="shared" si="6"/>
        <v>3</v>
      </c>
      <c r="G12" s="24">
        <f t="shared" si="6"/>
        <v>4</v>
      </c>
      <c r="H12" s="24">
        <f t="shared" si="6"/>
        <v>5</v>
      </c>
      <c r="I12" s="24">
        <f t="shared" si="6"/>
        <v>6</v>
      </c>
      <c r="J12" s="24">
        <f t="shared" si="6"/>
        <v>7</v>
      </c>
      <c r="K12" s="24">
        <f t="shared" si="6"/>
        <v>8</v>
      </c>
      <c r="L12" s="24">
        <f t="shared" si="6"/>
        <v>9</v>
      </c>
      <c r="M12" s="24">
        <f t="shared" si="6"/>
        <v>10</v>
      </c>
      <c r="N12" s="24">
        <f t="shared" si="6"/>
        <v>11</v>
      </c>
      <c r="O12" s="24">
        <f t="shared" si="6"/>
        <v>12</v>
      </c>
      <c r="P12" s="24">
        <f t="shared" si="6"/>
        <v>13</v>
      </c>
      <c r="Q12" s="24">
        <f t="shared" si="6"/>
        <v>14</v>
      </c>
      <c r="R12" s="24"/>
      <c r="S12" s="24"/>
    </row>
    <row r="13" ht="12.0" customHeight="1">
      <c r="A13" s="31" t="s">
        <v>81</v>
      </c>
      <c r="B13" s="33">
        <f>IRR(C13:Q13)</f>
        <v>0.0500001567</v>
      </c>
      <c r="C13" s="59">
        <f>-1494.93</f>
        <v>-1494.93</v>
      </c>
      <c r="D13" s="24">
        <f t="shared" ref="D13:P13" si="7">+$B$5</f>
        <v>100</v>
      </c>
      <c r="E13" s="24">
        <f t="shared" si="7"/>
        <v>100</v>
      </c>
      <c r="F13" s="24">
        <f t="shared" si="7"/>
        <v>100</v>
      </c>
      <c r="G13" s="24">
        <f t="shared" si="7"/>
        <v>100</v>
      </c>
      <c r="H13" s="24">
        <f t="shared" si="7"/>
        <v>100</v>
      </c>
      <c r="I13" s="24">
        <f t="shared" si="7"/>
        <v>100</v>
      </c>
      <c r="J13" s="24">
        <f t="shared" si="7"/>
        <v>100</v>
      </c>
      <c r="K13" s="24">
        <f t="shared" si="7"/>
        <v>100</v>
      </c>
      <c r="L13" s="24">
        <f t="shared" si="7"/>
        <v>100</v>
      </c>
      <c r="M13" s="24">
        <f t="shared" si="7"/>
        <v>100</v>
      </c>
      <c r="N13" s="24">
        <f t="shared" si="7"/>
        <v>100</v>
      </c>
      <c r="O13" s="24">
        <f t="shared" si="7"/>
        <v>100</v>
      </c>
      <c r="P13" s="24">
        <f t="shared" si="7"/>
        <v>100</v>
      </c>
      <c r="Q13" s="24">
        <v>1100.0</v>
      </c>
      <c r="R13" s="24"/>
      <c r="S13" s="24"/>
    </row>
    <row r="14" ht="12.0" customHeight="1">
      <c r="A14" s="24"/>
      <c r="B14" s="24"/>
      <c r="C14" s="24"/>
      <c r="D14" s="24"/>
      <c r="E14" s="24"/>
      <c r="F14" s="24"/>
      <c r="G14" s="24"/>
      <c r="H14" s="24"/>
      <c r="I14" s="24"/>
      <c r="J14" s="24"/>
      <c r="K14" s="24"/>
      <c r="L14" s="24"/>
      <c r="M14" s="24"/>
      <c r="N14" s="24"/>
      <c r="O14" s="24"/>
      <c r="P14" s="24"/>
      <c r="Q14" s="24"/>
      <c r="R14" s="24"/>
      <c r="S14" s="24"/>
    </row>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63"/>
    <col customWidth="1" min="2" max="2" width="7.88"/>
    <col customWidth="1" min="3" max="3" width="8.0"/>
    <col customWidth="1" min="4" max="8" width="5.38"/>
    <col customWidth="1" min="9" max="9" width="6.13"/>
    <col customWidth="1" min="10" max="13" width="5.38"/>
    <col customWidth="1" min="14" max="14" width="8.25"/>
    <col customWidth="1" min="15" max="17" width="5.38"/>
    <col customWidth="1" min="18" max="26" width="10.63"/>
  </cols>
  <sheetData>
    <row r="1" ht="12.0" customHeight="1">
      <c r="A1" s="28" t="s">
        <v>39</v>
      </c>
      <c r="B1" s="63">
        <v>10.0</v>
      </c>
      <c r="C1" s="24"/>
      <c r="D1" s="24"/>
      <c r="E1" s="24"/>
      <c r="F1" s="24"/>
      <c r="G1" s="24"/>
      <c r="H1" s="24"/>
      <c r="I1" s="24"/>
      <c r="J1" s="24"/>
      <c r="K1" s="24"/>
      <c r="L1" s="24"/>
      <c r="M1" s="24"/>
      <c r="N1" s="24"/>
      <c r="O1" s="24"/>
      <c r="P1" s="24"/>
      <c r="Q1" s="24"/>
    </row>
    <row r="2" ht="12.0" customHeight="1">
      <c r="A2" s="25" t="s">
        <v>82</v>
      </c>
      <c r="B2" s="64">
        <v>1.0</v>
      </c>
      <c r="C2" s="64">
        <v>2.0</v>
      </c>
      <c r="D2" s="26">
        <v>3.0</v>
      </c>
      <c r="E2" s="24"/>
      <c r="F2" s="24"/>
      <c r="G2" s="24"/>
      <c r="H2" s="24"/>
      <c r="I2" s="24"/>
      <c r="J2" s="24"/>
      <c r="K2" s="24"/>
      <c r="L2" s="24"/>
      <c r="M2" s="24"/>
      <c r="N2" s="24"/>
      <c r="O2" s="24"/>
      <c r="P2" s="24"/>
      <c r="Q2" s="24"/>
      <c r="R2" s="1"/>
      <c r="S2" s="1"/>
      <c r="T2" s="1"/>
      <c r="U2" s="1"/>
      <c r="V2" s="1"/>
      <c r="W2" s="1"/>
      <c r="X2" s="1"/>
      <c r="Y2" s="1"/>
      <c r="Z2" s="1"/>
    </row>
    <row r="3" ht="12.0" customHeight="1">
      <c r="A3" s="28" t="s">
        <v>31</v>
      </c>
      <c r="B3" s="65">
        <v>50.0</v>
      </c>
      <c r="C3" s="65">
        <v>50.0</v>
      </c>
      <c r="D3" s="63">
        <v>50.0</v>
      </c>
      <c r="E3" s="24"/>
      <c r="F3" s="24">
        <f t="shared" ref="F3:H3" si="1">B3/(1+$A$9)^B2</f>
        <v>45.45454545</v>
      </c>
      <c r="G3" s="24">
        <f t="shared" si="1"/>
        <v>41.32231405</v>
      </c>
      <c r="H3" s="24">
        <f t="shared" si="1"/>
        <v>37.56574005</v>
      </c>
      <c r="I3" s="24" t="s">
        <v>83</v>
      </c>
      <c r="J3" s="24"/>
      <c r="K3" s="24"/>
      <c r="L3" s="24"/>
      <c r="M3" s="24"/>
      <c r="N3" s="24" t="s">
        <v>84</v>
      </c>
      <c r="O3" s="24"/>
      <c r="P3" s="24"/>
      <c r="Q3" s="24"/>
    </row>
    <row r="4" ht="12.0" customHeight="1">
      <c r="A4" s="45" t="s">
        <v>32</v>
      </c>
      <c r="B4" s="66">
        <v>0.0</v>
      </c>
      <c r="C4" s="66">
        <v>0.0</v>
      </c>
      <c r="D4" s="67">
        <v>1000.0</v>
      </c>
      <c r="E4" s="24"/>
      <c r="F4" s="24">
        <f t="shared" ref="F4:H4" si="2">B4/(1+$A$9)^B2</f>
        <v>0</v>
      </c>
      <c r="G4" s="24">
        <f t="shared" si="2"/>
        <v>0</v>
      </c>
      <c r="H4" s="24">
        <f t="shared" si="2"/>
        <v>751.3148009</v>
      </c>
      <c r="I4" s="58">
        <f>SUM(F3:H3)+SUM(F4:H4)</f>
        <v>875.6574005</v>
      </c>
      <c r="J4" s="24"/>
      <c r="K4" s="24">
        <f t="shared" ref="K4:M4" si="3">B2*(F3+F4)</f>
        <v>45.45454545</v>
      </c>
      <c r="L4" s="24">
        <f t="shared" si="3"/>
        <v>82.6446281</v>
      </c>
      <c r="M4" s="24">
        <f t="shared" si="3"/>
        <v>2366.641623</v>
      </c>
      <c r="N4" s="68">
        <f>SUM(K4:M4)/I4</f>
        <v>2.848991849</v>
      </c>
      <c r="O4" s="24"/>
      <c r="P4" s="24"/>
      <c r="Q4" s="24"/>
    </row>
    <row r="5" ht="12.0" customHeight="1">
      <c r="A5" s="25" t="s">
        <v>85</v>
      </c>
      <c r="B5" s="64">
        <v>1.0</v>
      </c>
      <c r="C5" s="64">
        <v>2.0</v>
      </c>
      <c r="D5" s="26">
        <v>3.0</v>
      </c>
      <c r="E5" s="24"/>
      <c r="F5" s="24"/>
      <c r="G5" s="24"/>
      <c r="H5" s="24"/>
      <c r="I5" s="24"/>
      <c r="J5" s="24"/>
      <c r="K5" s="24"/>
      <c r="L5" s="24"/>
      <c r="M5" s="24"/>
      <c r="N5" s="24"/>
      <c r="O5" s="24"/>
      <c r="P5" s="24"/>
      <c r="Q5" s="24"/>
    </row>
    <row r="6" ht="12.0" customHeight="1">
      <c r="A6" s="28" t="s">
        <v>31</v>
      </c>
      <c r="B6" s="65">
        <v>50.0</v>
      </c>
      <c r="C6" s="65">
        <v>33.0</v>
      </c>
      <c r="D6" s="63">
        <v>17.0</v>
      </c>
      <c r="E6" s="24"/>
      <c r="F6" s="24">
        <f t="shared" ref="F6:H6" si="4">B6/(1+$A$9)^B5</f>
        <v>45.45454545</v>
      </c>
      <c r="G6" s="24">
        <f t="shared" si="4"/>
        <v>27.27272727</v>
      </c>
      <c r="H6" s="24">
        <f t="shared" si="4"/>
        <v>12.77235162</v>
      </c>
      <c r="I6" s="24" t="s">
        <v>83</v>
      </c>
      <c r="J6" s="24"/>
      <c r="K6" s="24"/>
      <c r="L6" s="24"/>
      <c r="M6" s="24"/>
      <c r="N6" s="24" t="s">
        <v>84</v>
      </c>
      <c r="O6" s="24"/>
      <c r="P6" s="24"/>
      <c r="Q6" s="24"/>
    </row>
    <row r="7" ht="12.0" customHeight="1">
      <c r="A7" s="45" t="s">
        <v>32</v>
      </c>
      <c r="B7" s="66">
        <v>333.0</v>
      </c>
      <c r="C7" s="66">
        <v>333.0</v>
      </c>
      <c r="D7" s="67">
        <v>333.0</v>
      </c>
      <c r="E7" s="24"/>
      <c r="F7" s="24">
        <f t="shared" ref="F7:H7" si="5">B7/(1+$A$9)^B5</f>
        <v>302.7272727</v>
      </c>
      <c r="G7" s="24">
        <f t="shared" si="5"/>
        <v>275.2066116</v>
      </c>
      <c r="H7" s="24">
        <f t="shared" si="5"/>
        <v>250.1878287</v>
      </c>
      <c r="I7" s="58">
        <f>SUM(F6:H6)+SUM(F7:H7)</f>
        <v>913.6213373</v>
      </c>
      <c r="J7" s="24"/>
      <c r="K7" s="24">
        <f t="shared" ref="K7:M7" si="6">B5*(F6+F7)</f>
        <v>348.1818182</v>
      </c>
      <c r="L7" s="24">
        <f t="shared" si="6"/>
        <v>604.9586777</v>
      </c>
      <c r="M7" s="24">
        <f t="shared" si="6"/>
        <v>788.8805409</v>
      </c>
      <c r="N7" s="68">
        <f>SUM(K7:M7)/I7</f>
        <v>1.906721051</v>
      </c>
      <c r="O7" s="24"/>
      <c r="P7" s="24"/>
      <c r="Q7" s="24"/>
    </row>
    <row r="8" ht="12.0" customHeight="1">
      <c r="A8" s="24" t="s">
        <v>86</v>
      </c>
      <c r="B8" s="24"/>
      <c r="C8" s="24"/>
      <c r="D8" s="24"/>
      <c r="E8" s="24"/>
      <c r="F8" s="24"/>
      <c r="G8" s="24"/>
      <c r="H8" s="24"/>
      <c r="I8" s="24"/>
      <c r="J8" s="24"/>
      <c r="K8" s="24"/>
      <c r="L8" s="24"/>
      <c r="M8" s="24"/>
      <c r="N8" s="24"/>
      <c r="O8" s="24"/>
      <c r="P8" s="24"/>
      <c r="Q8" s="24"/>
    </row>
    <row r="9" ht="12.0" customHeight="1">
      <c r="A9" s="39">
        <v>0.1</v>
      </c>
      <c r="B9" s="24"/>
      <c r="C9" s="24"/>
      <c r="D9" s="24"/>
      <c r="E9" s="24"/>
      <c r="F9" s="24"/>
      <c r="G9" s="24"/>
      <c r="H9" s="24"/>
      <c r="I9" s="24"/>
      <c r="J9" s="24"/>
      <c r="K9" s="24"/>
      <c r="L9" s="24"/>
      <c r="M9" s="24"/>
      <c r="N9" s="24"/>
      <c r="O9" s="24"/>
      <c r="P9" s="24"/>
      <c r="Q9" s="24"/>
    </row>
    <row r="10" ht="12.0" customHeight="1">
      <c r="A10" s="24"/>
      <c r="B10" s="24"/>
      <c r="C10" s="24"/>
      <c r="D10" s="24"/>
      <c r="E10" s="24"/>
      <c r="F10" s="24"/>
      <c r="G10" s="24"/>
      <c r="H10" s="24"/>
      <c r="I10" s="24"/>
      <c r="J10" s="24"/>
      <c r="K10" s="24"/>
      <c r="L10" s="24"/>
      <c r="M10" s="24"/>
      <c r="N10" s="24"/>
      <c r="O10" s="24"/>
      <c r="P10" s="24"/>
      <c r="Q10" s="24"/>
    </row>
    <row r="11" ht="12.0" customHeight="1">
      <c r="A11" s="24"/>
      <c r="B11" s="24"/>
      <c r="C11" s="24"/>
      <c r="D11" s="24"/>
      <c r="E11" s="24"/>
      <c r="F11" s="24"/>
      <c r="G11" s="24"/>
      <c r="H11" s="24"/>
      <c r="I11" s="24"/>
      <c r="J11" s="24"/>
      <c r="K11" s="24"/>
      <c r="L11" s="24"/>
      <c r="M11" s="24"/>
      <c r="N11" s="24"/>
      <c r="O11" s="24"/>
      <c r="P11" s="24"/>
      <c r="Q11" s="24"/>
    </row>
    <row r="12" ht="12.0" customHeight="1">
      <c r="A12" s="24"/>
      <c r="B12" s="24"/>
      <c r="C12" s="24"/>
      <c r="D12" s="24"/>
      <c r="E12" s="24"/>
      <c r="F12" s="24"/>
      <c r="G12" s="24"/>
      <c r="H12" s="24"/>
      <c r="I12" s="24"/>
      <c r="J12" s="24"/>
      <c r="K12" s="24"/>
      <c r="L12" s="24"/>
      <c r="M12" s="24"/>
      <c r="N12" s="24"/>
      <c r="O12" s="24"/>
      <c r="P12" s="24"/>
      <c r="Q12" s="24"/>
    </row>
    <row r="13" ht="12.0" customHeight="1">
      <c r="A13" s="24"/>
      <c r="B13" s="24"/>
      <c r="C13" s="24"/>
      <c r="D13" s="24"/>
      <c r="E13" s="24"/>
      <c r="F13" s="24"/>
      <c r="G13" s="24"/>
      <c r="H13" s="24"/>
      <c r="I13" s="24"/>
      <c r="J13" s="24"/>
      <c r="K13" s="24"/>
      <c r="L13" s="24"/>
      <c r="M13" s="24"/>
      <c r="N13" s="24"/>
      <c r="O13" s="24"/>
      <c r="P13" s="24"/>
      <c r="Q13" s="24"/>
    </row>
    <row r="14" ht="12.0" customHeight="1">
      <c r="A14" s="24"/>
      <c r="B14" s="24"/>
      <c r="C14" s="24"/>
      <c r="D14" s="24"/>
      <c r="E14" s="24"/>
      <c r="F14" s="24"/>
      <c r="G14" s="24"/>
      <c r="H14" s="24"/>
      <c r="I14" s="24"/>
      <c r="J14" s="24"/>
      <c r="K14" s="24"/>
      <c r="L14" s="24"/>
      <c r="M14" s="24"/>
      <c r="N14" s="24"/>
      <c r="O14" s="24"/>
      <c r="P14" s="24"/>
      <c r="Q14" s="24"/>
    </row>
    <row r="15" ht="12.0" customHeight="1">
      <c r="A15" s="24"/>
      <c r="B15" s="24"/>
      <c r="C15" s="24"/>
      <c r="D15" s="24"/>
      <c r="E15" s="24"/>
      <c r="F15" s="24"/>
      <c r="G15" s="24"/>
      <c r="H15" s="24"/>
      <c r="I15" s="24"/>
      <c r="J15" s="24"/>
      <c r="K15" s="24"/>
      <c r="L15" s="24"/>
      <c r="M15" s="24"/>
      <c r="N15" s="24"/>
      <c r="O15" s="24"/>
      <c r="P15" s="24"/>
      <c r="Q15" s="24"/>
    </row>
    <row r="16" ht="12.0" customHeight="1">
      <c r="A16" s="24"/>
      <c r="B16" s="24"/>
      <c r="C16" s="24"/>
      <c r="D16" s="24"/>
      <c r="E16" s="24"/>
      <c r="F16" s="24"/>
      <c r="G16" s="24"/>
      <c r="H16" s="24"/>
      <c r="I16" s="24"/>
      <c r="J16" s="24"/>
      <c r="K16" s="24"/>
      <c r="L16" s="24"/>
      <c r="M16" s="24"/>
      <c r="N16" s="24"/>
      <c r="O16" s="24"/>
      <c r="P16" s="24"/>
      <c r="Q16" s="24"/>
    </row>
    <row r="17" ht="12.0" customHeight="1">
      <c r="A17" s="24"/>
      <c r="B17" s="24"/>
      <c r="C17" s="24"/>
      <c r="D17" s="24"/>
      <c r="E17" s="24"/>
      <c r="F17" s="24"/>
      <c r="G17" s="24"/>
      <c r="H17" s="24"/>
      <c r="I17" s="24"/>
      <c r="J17" s="24"/>
      <c r="K17" s="24"/>
      <c r="L17" s="24"/>
      <c r="M17" s="24"/>
      <c r="N17" s="24"/>
      <c r="O17" s="24"/>
      <c r="P17" s="24"/>
      <c r="Q17" s="24"/>
    </row>
    <row r="18" ht="12.0" customHeight="1">
      <c r="A18" s="24"/>
      <c r="B18" s="24"/>
      <c r="C18" s="24"/>
      <c r="D18" s="24"/>
      <c r="E18" s="24"/>
      <c r="F18" s="24"/>
      <c r="G18" s="24"/>
      <c r="H18" s="24"/>
      <c r="I18" s="24"/>
      <c r="J18" s="24"/>
      <c r="K18" s="24"/>
      <c r="L18" s="24"/>
      <c r="M18" s="24"/>
      <c r="N18" s="24"/>
      <c r="O18" s="24"/>
      <c r="P18" s="24"/>
      <c r="Q18" s="24"/>
    </row>
    <row r="19" ht="12.0" customHeight="1">
      <c r="A19" s="24"/>
      <c r="B19" s="24"/>
      <c r="C19" s="24"/>
      <c r="D19" s="24"/>
      <c r="E19" s="24"/>
      <c r="F19" s="24"/>
      <c r="G19" s="24"/>
      <c r="H19" s="24"/>
      <c r="I19" s="24"/>
      <c r="J19" s="24"/>
      <c r="K19" s="24"/>
      <c r="L19" s="24"/>
      <c r="M19" s="24"/>
      <c r="N19" s="24"/>
      <c r="O19" s="24"/>
      <c r="P19" s="24"/>
      <c r="Q19" s="24"/>
    </row>
    <row r="20" ht="12.0" customHeight="1">
      <c r="A20" s="24"/>
      <c r="B20" s="24"/>
      <c r="C20" s="24"/>
      <c r="D20" s="24"/>
      <c r="E20" s="24"/>
      <c r="F20" s="24"/>
      <c r="G20" s="24"/>
      <c r="H20" s="24"/>
      <c r="I20" s="24"/>
      <c r="J20" s="24"/>
      <c r="K20" s="24"/>
      <c r="L20" s="24"/>
      <c r="M20" s="24"/>
      <c r="N20" s="24"/>
      <c r="O20" s="24"/>
      <c r="P20" s="24"/>
      <c r="Q20" s="24"/>
    </row>
    <row r="21" ht="12.0" customHeight="1">
      <c r="A21" s="24"/>
      <c r="B21" s="24"/>
      <c r="C21" s="24"/>
      <c r="D21" s="24"/>
      <c r="E21" s="24"/>
      <c r="F21" s="24"/>
      <c r="G21" s="24"/>
      <c r="H21" s="24"/>
      <c r="I21" s="24"/>
      <c r="J21" s="24"/>
      <c r="K21" s="24"/>
      <c r="L21" s="24"/>
      <c r="M21" s="24"/>
      <c r="N21" s="24"/>
      <c r="O21" s="24"/>
      <c r="P21" s="24"/>
      <c r="Q21" s="24"/>
    </row>
    <row r="22" ht="12.0" customHeight="1">
      <c r="A22" s="24"/>
      <c r="B22" s="24"/>
      <c r="C22" s="24"/>
      <c r="D22" s="24"/>
      <c r="E22" s="24"/>
      <c r="F22" s="24"/>
      <c r="G22" s="24"/>
      <c r="H22" s="24"/>
      <c r="I22" s="24"/>
      <c r="J22" s="24"/>
      <c r="K22" s="24"/>
      <c r="L22" s="24"/>
      <c r="M22" s="24"/>
      <c r="N22" s="24"/>
      <c r="O22" s="24"/>
      <c r="P22" s="24"/>
      <c r="Q22" s="24"/>
    </row>
    <row r="23" ht="12.0" customHeight="1">
      <c r="A23" s="24"/>
      <c r="B23" s="24"/>
      <c r="C23" s="24"/>
      <c r="D23" s="24"/>
      <c r="E23" s="24"/>
      <c r="F23" s="24"/>
      <c r="G23" s="24"/>
      <c r="H23" s="24"/>
      <c r="I23" s="24"/>
      <c r="J23" s="24"/>
      <c r="K23" s="24"/>
      <c r="L23" s="24"/>
      <c r="M23" s="24"/>
      <c r="N23" s="24"/>
      <c r="O23" s="24"/>
      <c r="P23" s="24"/>
      <c r="Q23" s="24"/>
    </row>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1999-05-21T04:40:53Z</dcterms:created>
  <dc:creator>Esteban Yañez</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