
<file path=[Content_Types].xml><?xml version="1.0" encoding="utf-8"?>
<Types xmlns="http://schemas.openxmlformats.org/package/2006/content-types">
  <Default ContentType="application/xml" Extension="xml"/>
  <Default ContentType="application/vnd.openxmlformats-package.relationships+xml" Extension="rels"/>
  <Override ContentType="application/vnd.openxmlformats-officedocument.custom-properties+xml" PartName="/docProps/custom.xml"/>
  <Override ContentType="application/vnd.openxmlformats-officedocument.spreadsheetml.worksheet+xml" PartName="/xl/worksheets/sheet1.xml"/>
  <Override ContentType="application/vnd.openxmlformats-officedocument.spreadsheetml.worksheet+xml" PartName="/xl/worksheets/sheet2.xml"/>
  <Override ContentType="application/vnd.openxmlformats-officedocument.spreadsheetml.worksheet+xml" PartName="/xl/worksheets/sheet3.xml"/>
  <Override ContentType="application/binary" PartName="/xl/metadata"/>
  <Override ContentType="application/vnd.openxmlformats-officedocument.spreadsheetml.sharedStrings+xml" PartName="/xl/sharedStrings.xml"/>
  <Override ContentType="application/vnd.openxmlformats-officedocument.drawing+xml" PartName="/xl/drawings/drawing3.xml"/>
  <Override ContentType="application/vnd.openxmlformats-officedocument.drawing+xml" PartName="/xl/drawings/drawing1.xml"/>
  <Override ContentType="application/vnd.openxmlformats-officedocument.drawing+xml" PartName="/xl/drawings/drawing2.xml"/>
  <Override ContentType="application/vnd.ms-excel.sheet.macroEnabled.main+xml" PartName="/xl/workbook.xml"/>
  <Override ContentType="application/vnd.openxmlformats-package.core-properties+xml" PartName="/docProps/core.xml"/>
  <Override ContentType="application/vnd.openxmlformats-officedocument.spreadsheetml.styles+xml" PartName="/xl/styles.xml"/>
  <Override ContentType="application/vnd.openxmlformats-officedocument.theme+xml" PartName="/xl/theme/theme1.xml"/>
</Types>
</file>

<file path=_rels/.rels><?xml version="1.0" encoding="UTF-8" standalone="yes"?><Relationships xmlns="http://schemas.openxmlformats.org/package/2006/relationships"><Relationship Id="rId1" Type="http://schemas.openxmlformats.org/package/2006/relationships/metadata/core-properties" Target="docProps/core.xml"/><Relationship Id="rId2" Type="http://schemas.openxmlformats.org/officeDocument/2006/relationships/custom-properties" Target="docProps/custom.xml"/><Relationship Id="rId3"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x="http://schemas.microsoft.com/office/mac/excel/2008/main" xmlns:mc="http://schemas.openxmlformats.org/markup-compatibility/2006" xmlns:mv="urn:schemas-microsoft-com:mac:vml" xmlns:x14="http://schemas.microsoft.com/office/spreadsheetml/2009/9/main" xmlns:x15="http://schemas.microsoft.com/office/spreadsheetml/2010/11/main" xmlns:x14ac="http://schemas.microsoft.com/office/spreadsheetml/2009/9/ac" xmlns:xm="http://schemas.microsoft.com/office/excel/2006/main">
  <workbookPr/>
  <sheets>
    <sheet state="visible" name="ENTREGABLE1" sheetId="1" r:id="rId4"/>
    <sheet state="hidden" name="Copia de ENTREGABLE1" sheetId="2" r:id="rId5"/>
    <sheet state="hidden" name="Hoja1" sheetId="3" r:id="rId6"/>
  </sheets>
  <definedNames>
    <definedName name="taxtable">#REF!</definedName>
  </definedNames>
  <calcPr/>
  <extLst>
    <ext uri="GoogleSheetsCustomDataVersion1">
      <go:sheetsCustomData xmlns:go="http://customooxmlschemas.google.com/" r:id="rId7" roundtripDataSignature="AMtx7mghuSMYU59fFwzyddiR2YjxMiSEaQ=="/>
    </ext>
  </extLst>
</workbook>
</file>

<file path=xl/sharedStrings.xml><?xml version="1.0" encoding="utf-8"?>
<sst xmlns="http://schemas.openxmlformats.org/spreadsheetml/2006/main" count="206" uniqueCount="109">
  <si>
    <t>ENTREGABLE 1      -- VALOR AÑADIDO A LA EMPRESA Y CONTROL</t>
  </si>
  <si>
    <t>DATOS</t>
  </si>
  <si>
    <t>AÑO 2</t>
  </si>
  <si>
    <t>AÑO 1</t>
  </si>
  <si>
    <t>AÑO 0</t>
  </si>
  <si>
    <t>VAR (RESTA)</t>
  </si>
  <si>
    <t>VAR (%)</t>
  </si>
  <si>
    <t>PRECIO DE LA ACCION A FIN DE AÑO</t>
  </si>
  <si>
    <t>MILLONES DE ACCIONES A FIN DE AÑO</t>
  </si>
  <si>
    <t>TASA DE IMPUESTO A LAS GANACIAS</t>
  </si>
  <si>
    <t>COSTO PROMEDIO PONDERADO DEL CAPITAL</t>
  </si>
  <si>
    <t>EMPRESA</t>
  </si>
  <si>
    <t>EN MILLONES DE PESOS</t>
  </si>
  <si>
    <t>ACTIVOS</t>
  </si>
  <si>
    <t>CAJA</t>
  </si>
  <si>
    <t>INVERSIONES DE CORTO PLAZO</t>
  </si>
  <si>
    <t>CREDITOS (CUENTAS A COBRAR)</t>
  </si>
  <si>
    <t>INVENTARIOS (BIENES DE CAMBIO)</t>
  </si>
  <si>
    <t>TOTAL DE ACTIVOS CORRIENTES</t>
  </si>
  <si>
    <t>BIENES DE USO NETOS DE AMORTIZACIONES ACUMULADAS</t>
  </si>
  <si>
    <t>TOTAL DE  ACTIVOS</t>
  </si>
  <si>
    <t>PASIVOS Y PATRIMONIO NETO</t>
  </si>
  <si>
    <t>DEUDAS COMERCIALES (CUENTAS A PAGAR)</t>
  </si>
  <si>
    <t>DEUDAS FINANCIERAS DE CORTO PLAZO</t>
  </si>
  <si>
    <t>PROVISIONES (ACUMULACIONES)</t>
  </si>
  <si>
    <t>TOTAL DE PASIVOS CORRIENTES</t>
  </si>
  <si>
    <t>PASIVOS DE LARGO PLAZO (BONOS)</t>
  </si>
  <si>
    <t>TOTAL DE PASIVOS</t>
  </si>
  <si>
    <t>CAPITAL EN ACCIONES PREFERIDAS (400,000 ACCIONES)</t>
  </si>
  <si>
    <t>CAPITAL EN ACCIONES COMUNES (50,000,000 ACCIONES)</t>
  </si>
  <si>
    <t>UTILIDADES ACUMULADAS (RESULTADOS NO ASIGNADOS)</t>
  </si>
  <si>
    <t>PATRIMONIO NETO TOTAL</t>
  </si>
  <si>
    <t>PASIVOS + PATRIMONIO NETO</t>
  </si>
  <si>
    <t>EN MILLONES DE $</t>
  </si>
  <si>
    <t>ESTADO DE RESULTADOS</t>
  </si>
  <si>
    <t>VENTAS</t>
  </si>
  <si>
    <t>COSTOS OPERATIVOS EXCLUYENDO AMORTIZACIONES</t>
  </si>
  <si>
    <t>SUBTOTAL EBITDA</t>
  </si>
  <si>
    <t>AMORTIZACIONES</t>
  </si>
  <si>
    <t>SUBTOTAL EBIT</t>
  </si>
  <si>
    <t>INTERESES PAGADOS</t>
  </si>
  <si>
    <t>SUBTOTAL EBT</t>
  </si>
  <si>
    <t>IMPUESTO A LAS GANANCIAS</t>
  </si>
  <si>
    <t>UTILIDADES ANTES DE RESTAR DIVIDENDOS DE ACCIONES PREFERIDAS</t>
  </si>
  <si>
    <t>DIVIDENDOS DE ACCIONES PREFERIDAS</t>
  </si>
  <si>
    <t>UTILIDADES DISPONIBLES PARA LOS ACCIONISTAS COMUNES</t>
  </si>
  <si>
    <t>DIVIDENDOS DE ACCIONES COMUNES</t>
  </si>
  <si>
    <t>AGREGADO A LAS UTILIDADES ACUMULADAS</t>
  </si>
  <si>
    <t xml:space="preserve"> </t>
  </si>
  <si>
    <t>DATOS POR ACCION</t>
  </si>
  <si>
    <t>UTILIDADES POR ACCION UPA (EPS)</t>
  </si>
  <si>
    <t>DIVIDENDOS POR ACCION DPA (DPS)</t>
  </si>
  <si>
    <t>VALOR DE LIBROS POR ACCION VLPS (BVPS)</t>
  </si>
  <si>
    <t>ANALICE LOS NÜMEROS DE ESTA EMPRESA DESDE UNA PERSPECTIVA FINANCIERA:</t>
  </si>
  <si>
    <t xml:space="preserve">CONTROLE LA GESTION  A PARTIR DE DETERMINAR CUANTO VALOR SE HA GENERADO O DESTRUIDO </t>
  </si>
  <si>
    <t>DURANTE EL AÑO.</t>
  </si>
  <si>
    <t xml:space="preserve">AÑO 0 </t>
  </si>
  <si>
    <t>CAPITAL DE TRABAJO OPERATIVO (NO incluye inversiones corrientes y deuda financiera de corto plazo)</t>
  </si>
  <si>
    <t>CAPITAL OPERATIVO TOTAL</t>
  </si>
  <si>
    <t>CRÉDITOS A COBRAR / (CRÉDITOS A COBRAR / VENTAS) *  365</t>
  </si>
  <si>
    <t>GANANCIAS ANTES DE INTERESES E IMPUESTOS (EBIT)</t>
  </si>
  <si>
    <t>NOPAT =&gt; EBIT * (1 - %IIGG)</t>
  </si>
  <si>
    <t>TASA DE INTERÉS S/DEUDA TOTAL</t>
  </si>
  <si>
    <t>COSTO DEL DINERO DE LA EMPRESA =&gt; kL = (WACC - (i * (1 - tax) * ( D / D + E)))  / (E / D + E)</t>
  </si>
  <si>
    <t>COSTO TOTAL DEL DINERO =&gt; WACC * CAPITAL DE TRABAJO OPERATIVO</t>
  </si>
  <si>
    <t>TOC =&gt; WACC * CAPITAL OPERATIVO TOTAL</t>
  </si>
  <si>
    <t>EVA</t>
  </si>
  <si>
    <t>EVA / TOC</t>
  </si>
  <si>
    <t xml:space="preserve">A PARTIR DE DICHA DETERMINACION INFORME COMO SU CONTROL DE GESTION LE PERMITE PENSAR </t>
  </si>
  <si>
    <r>
      <rPr>
        <rFont val="Calibri"/>
        <b/>
        <color theme="1"/>
        <sz val="10.0"/>
      </rPr>
      <t xml:space="preserve">MEJORAS - QUÉ ASPECTOS SEÑALARÍA SUSCEPTIBLES DE MEJORA? </t>
    </r>
    <r>
      <rPr>
        <rFont val="Calibri"/>
        <b/>
        <color rgb="FFFF0000"/>
        <sz val="10.0"/>
      </rPr>
      <t>Proponga mejoras</t>
    </r>
  </si>
  <si>
    <t>COMPLEMENTE SU ANALISIS DETERMINANDO:</t>
  </si>
  <si>
    <t>(UTILIDADES DISPONIBLES A ACCIONISTAS COMUNES) / (CAPITAL EN ACCIONES COMUNES + UTILIDADES ACUMULADAS)</t>
  </si>
  <si>
    <t>DEUDA TOTAL / ACTIVO TOTAL</t>
  </si>
  <si>
    <t>ACTIVO CORRIENTE TOTAL / PASIVO CORRIENTE TOTAL</t>
  </si>
  <si>
    <t>DEUDA CP / DEUDA LP</t>
  </si>
  <si>
    <t>DEUDA / PN</t>
  </si>
  <si>
    <t>RENTABILIDAD =&gt; ROE</t>
  </si>
  <si>
    <t>UAIIG / Intereses</t>
  </si>
  <si>
    <t>MODELO DE DUPONT:</t>
  </si>
  <si>
    <t>MARGEN NETO = UTILIDADES NETAS / VENTAS</t>
  </si>
  <si>
    <t>ROTACIÓN DE ACTIVOS = VENTAS / ACTIVOS</t>
  </si>
  <si>
    <t>MULTIPLICADOR DE APALANCAMIENTO FINANCIERO = ACTIVOS / PATRIMONIO NETO</t>
  </si>
  <si>
    <t>Aumentando los precios de venta un 3.33 % ($3100) hago que el EVA sea positivo</t>
  </si>
  <si>
    <t>NOPAT =&gt; EBIT * (1-%IIGG)</t>
  </si>
  <si>
    <t>COSTO DEL DINERO DE LA EMPRESA =&gt; kL = (WACC - (i * (1 - tax) * (D/D+E)))  / (E/D+E)</t>
  </si>
  <si>
    <t>EVA EN CADA AÑO</t>
  </si>
  <si>
    <t>EVA/TOC EN CADA AÑO</t>
  </si>
  <si>
    <r>
      <rPr>
        <rFont val="Calibri"/>
        <b/>
        <color theme="1"/>
        <sz val="10.0"/>
      </rPr>
      <t xml:space="preserve">MEJORAS - QUÉ ASPECTOS SEÑALARÍA SUSCEPTIBLES DE MEJORA? </t>
    </r>
    <r>
      <rPr>
        <rFont val="Calibri"/>
        <b/>
        <color rgb="FFFF0000"/>
        <sz val="10.0"/>
      </rPr>
      <t>Proponga mejoras</t>
    </r>
  </si>
  <si>
    <t>(UTILIDADES DISPONIBLES A ACCIONISTAS COMUNES)/(CAPITAL EN ACCIONES COMUNES+UTILIDADES ACUMULADAS)</t>
  </si>
  <si>
    <t>(DEUDA TOTAL/ACTIVO TOTAL)</t>
  </si>
  <si>
    <t>(ACTIVO CORRIENTE TOTAL/PASIVO CORRIENTE TOTAL)</t>
  </si>
  <si>
    <t>(DEUDA CP/DEUDA LP)</t>
  </si>
  <si>
    <t>(DEUDA/PN)</t>
  </si>
  <si>
    <t>UAIIG/ Intereses</t>
  </si>
  <si>
    <t>Proyección año II</t>
  </si>
  <si>
    <t>Si AÑO I hubiera sido como AÑO II</t>
  </si>
  <si>
    <t>MAL USO DE ACTIVOS</t>
  </si>
  <si>
    <t>MAL USO DEL APALANCAMIENTO</t>
  </si>
  <si>
    <t>Una menor rotación de activos significa que la empresa está generando menos ingresos por cada peso invertido en sus activos. Es decir, la empresa no está utilizando eficientemente sus activos para generar ventas. Una baja rotación de activos puede ser indicativo de problemas en la gestión de inventarios, una disminución en la demanda de productos o servicios, o una ineficiente gestión de la producción o distribución.</t>
  </si>
  <si>
    <t>Por lo tanto, una empresa con una baja rotación de activos debe evaluar sus procesos y estrategias para mejorar su eficiencia y rentabilidad. Al mejorar la rotación de activos, se puede generar un mayor volumen de ventas con menos inversión en activos, lo que puede mejorar la rentabilidad y el valor para los accionistas.</t>
  </si>
  <si>
    <t>Bajar los plazos de cobro</t>
  </si>
  <si>
    <t>Bajar stock</t>
  </si>
  <si>
    <t>Mejorar gestion y entrega de productos</t>
  </si>
  <si>
    <t>Un mayor multiplicador de apalancamiento financiero indica que la empresa está financiando una mayor proporción de sus activos mediante deuda. El apalancamiento financiero se refiere al uso de deuda para financiar las operaciones de la empresa. Al tomar prestado dinero, la empresa puede aumentar su potencial de crecimiento y aumentar sus retornos a los accionistas. Sin embargo, también aumenta el riesgo ya que la empresa debe pagar intereses y capital en su deuda, lo que puede ser difícil si los ingresos no son suficientes para cubrir estos pagos. Por lo tanto, el apalancamiento financiero es una herramienta que puede ayudar a las empresas a aumentar sus rendimientos, pero también puede aumentar su riesgo financiero.</t>
  </si>
  <si>
    <t>Bajar costo de la deuda (tasa de interes)</t>
  </si>
  <si>
    <t>Plazos más largos. Endeudarse más a largo que a corto.</t>
  </si>
  <si>
    <t>Vender activos para saldar deuda? (mejora gestión de los activos?)</t>
  </si>
  <si>
    <t>Emitir acciones?</t>
  </si>
  <si>
    <t>CUENTAS DE BALANCE</t>
  </si>
</sst>
</file>

<file path=xl/styles.xml><?xml version="1.0" encoding="utf-8"?>
<styleSheet xmlns="http://schemas.openxmlformats.org/spreadsheetml/2006/main" xmlns:x14ac="http://schemas.microsoft.com/office/spreadsheetml/2009/9/ac" xmlns:mc="http://schemas.openxmlformats.org/markup-compatibility/2006">
  <numFmts count="6">
    <numFmt numFmtId="164" formatCode="&quot;$&quot;#,##0.00"/>
    <numFmt numFmtId="165" formatCode="0.0%"/>
    <numFmt numFmtId="166" formatCode="#,##0.0"/>
    <numFmt numFmtId="167" formatCode="&quot;$&quot;#,##0"/>
    <numFmt numFmtId="168" formatCode="&quot;$&quot;#,##0.0"/>
    <numFmt numFmtId="169" formatCode="&quot;$&quot;#,##0.00000"/>
  </numFmts>
  <fonts count="12">
    <font>
      <sz val="10.0"/>
      <color rgb="FF000000"/>
      <name val="Arial"/>
      <scheme val="minor"/>
    </font>
    <font>
      <sz val="10.0"/>
      <color theme="1"/>
      <name val="Arial Black"/>
    </font>
    <font/>
    <font>
      <b/>
      <sz val="10.0"/>
      <color rgb="FF0000FF"/>
      <name val="Calibri"/>
    </font>
    <font>
      <b/>
      <i/>
      <sz val="10.0"/>
      <color theme="1"/>
      <name val="Calibri"/>
    </font>
    <font>
      <b/>
      <sz val="10.0"/>
      <color theme="1"/>
      <name val="Calibri"/>
    </font>
    <font>
      <sz val="8.0"/>
      <color theme="7"/>
      <name val="Quattrocento Sans"/>
    </font>
    <font>
      <b/>
      <sz val="10.0"/>
      <color rgb="FF800000"/>
      <name val="Calibri"/>
    </font>
    <font>
      <sz val="10.0"/>
      <color theme="1"/>
      <name val="Arial"/>
    </font>
    <font>
      <color theme="1"/>
      <name val="Arial"/>
      <scheme val="minor"/>
    </font>
    <font>
      <sz val="8.0"/>
      <color rgb="FF8064A2"/>
      <name val="Quattrocento Sans"/>
    </font>
    <font>
      <sz val="8.0"/>
      <color rgb="FF374151"/>
      <name val="Quattrocento Sans"/>
    </font>
  </fonts>
  <fills count="8">
    <fill>
      <patternFill patternType="none"/>
    </fill>
    <fill>
      <patternFill patternType="lightGray"/>
    </fill>
    <fill>
      <patternFill patternType="solid">
        <fgColor rgb="FFFFFFCC"/>
        <bgColor rgb="FFFFFFCC"/>
      </patternFill>
    </fill>
    <fill>
      <patternFill patternType="solid">
        <fgColor rgb="FFFFFF00"/>
        <bgColor rgb="FFFFFF00"/>
      </patternFill>
    </fill>
    <fill>
      <patternFill patternType="solid">
        <fgColor rgb="FFFFFFFF"/>
        <bgColor rgb="FFFFFFFF"/>
      </patternFill>
    </fill>
    <fill>
      <patternFill patternType="solid">
        <fgColor rgb="FFFABF8F"/>
        <bgColor rgb="FFFABF8F"/>
      </patternFill>
    </fill>
    <fill>
      <patternFill patternType="solid">
        <fgColor rgb="FFFFC000"/>
        <bgColor rgb="FFFFC000"/>
      </patternFill>
    </fill>
    <fill>
      <patternFill patternType="solid">
        <fgColor rgb="FFC00000"/>
        <bgColor rgb="FFC00000"/>
      </patternFill>
    </fill>
  </fills>
  <borders count="26">
    <border/>
    <border>
      <left style="medium">
        <color rgb="FF000000"/>
      </left>
      <top style="medium">
        <color rgb="FF000000"/>
      </top>
    </border>
    <border>
      <top style="medium">
        <color rgb="FF000000"/>
      </top>
    </border>
    <border>
      <right style="medium">
        <color rgb="FF000000"/>
      </right>
      <top style="medium">
        <color rgb="FF000000"/>
      </top>
    </border>
    <border>
      <left style="medium">
        <color rgb="FF000000"/>
      </left>
      <bottom style="medium">
        <color rgb="FF000000"/>
      </bottom>
    </border>
    <border>
      <bottom style="medium">
        <color rgb="FF000000"/>
      </bottom>
    </border>
    <border>
      <right style="medium">
        <color rgb="FF000000"/>
      </right>
      <bottom style="medium">
        <color rgb="FF000000"/>
      </bottom>
    </border>
    <border>
      <left style="medium">
        <color rgb="FF000000"/>
      </left>
      <right/>
      <top style="medium">
        <color rgb="FF000000"/>
      </top>
      <bottom/>
    </border>
    <border>
      <left/>
      <right/>
      <top style="medium">
        <color rgb="FF000000"/>
      </top>
      <bottom/>
    </border>
    <border>
      <left/>
      <right style="medium">
        <color rgb="FF000000"/>
      </right>
      <top style="medium">
        <color rgb="FF000000"/>
      </top>
      <bottom/>
    </border>
    <border>
      <left style="medium">
        <color rgb="FF000000"/>
      </left>
      <right/>
      <top/>
      <bottom/>
    </border>
    <border>
      <left/>
      <right/>
      <top/>
      <bottom/>
    </border>
    <border>
      <left/>
      <right style="medium">
        <color rgb="FF000000"/>
      </right>
      <top/>
      <bottom/>
    </border>
    <border>
      <left/>
      <right/>
      <top/>
      <bottom style="medium">
        <color rgb="FF000000"/>
      </bottom>
    </border>
    <border>
      <left/>
      <right style="medium">
        <color rgb="FF000000"/>
      </right>
      <top/>
      <bottom style="medium">
        <color rgb="FF000000"/>
      </bottom>
    </border>
    <border>
      <left/>
      <right/>
      <top/>
      <bottom style="thin">
        <color rgb="FF000000"/>
      </bottom>
    </border>
    <border>
      <left/>
      <right style="medium">
        <color rgb="FF000000"/>
      </right>
      <top/>
      <bottom style="thin">
        <color rgb="FF000000"/>
      </bottom>
    </border>
    <border>
      <left/>
      <right/>
      <top style="thin">
        <color rgb="FF000000"/>
      </top>
      <bottom style="double">
        <color rgb="FF000000"/>
      </bottom>
    </border>
    <border>
      <left/>
      <right style="medium">
        <color rgb="FF000000"/>
      </right>
      <top style="thin">
        <color rgb="FF000000"/>
      </top>
      <bottom style="double">
        <color rgb="FF000000"/>
      </bottom>
    </border>
    <border>
      <left style="medium">
        <color rgb="FF000000"/>
      </left>
      <right/>
      <top/>
      <bottom style="medium">
        <color rgb="FF000000"/>
      </bottom>
    </border>
    <border>
      <left/>
      <right/>
      <top style="thin">
        <color rgb="FF000000"/>
      </top>
      <bottom style="medium">
        <color rgb="FF000000"/>
      </bottom>
    </border>
    <border>
      <left/>
      <right style="medium">
        <color rgb="FF000000"/>
      </right>
      <top style="thin">
        <color rgb="FF000000"/>
      </top>
      <bottom style="medium">
        <color rgb="FF000000"/>
      </bottom>
    </border>
    <border>
      <left/>
      <top/>
      <bottom/>
    </border>
    <border>
      <top/>
      <bottom/>
    </border>
    <border>
      <right/>
      <top/>
      <bottom/>
    </border>
    <border>
      <left/>
      <right/>
      <top/>
    </border>
  </borders>
  <cellStyleXfs count="1">
    <xf borderId="0" fillId="0" fontId="0" numFmtId="0" applyAlignment="1" applyFont="1"/>
  </cellStyleXfs>
  <cellXfs count="106">
    <xf borderId="0" fillId="0" fontId="0" numFmtId="0" xfId="0" applyAlignment="1" applyFont="1">
      <alignment readingOrder="0" shrinkToFit="0" vertical="bottom" wrapText="0"/>
    </xf>
    <xf borderId="1" fillId="0" fontId="1" numFmtId="0" xfId="0" applyAlignment="1" applyBorder="1" applyFont="1">
      <alignment horizontal="center"/>
    </xf>
    <xf borderId="2" fillId="0" fontId="2" numFmtId="0" xfId="0" applyBorder="1" applyFont="1"/>
    <xf borderId="3" fillId="0" fontId="2" numFmtId="0" xfId="0" applyBorder="1" applyFont="1"/>
    <xf borderId="4" fillId="0" fontId="2" numFmtId="0" xfId="0" applyBorder="1" applyFont="1"/>
    <xf borderId="5" fillId="0" fontId="2" numFmtId="0" xfId="0" applyBorder="1" applyFont="1"/>
    <xf borderId="6" fillId="0" fontId="2" numFmtId="0" xfId="0" applyBorder="1" applyFont="1"/>
    <xf borderId="0" fillId="0" fontId="3" numFmtId="0" xfId="0" applyFont="1"/>
    <xf borderId="0" fillId="0" fontId="4" numFmtId="0" xfId="0" applyFont="1"/>
    <xf borderId="0" fillId="0" fontId="5" numFmtId="0" xfId="0" applyFont="1"/>
    <xf borderId="0" fillId="0" fontId="5" numFmtId="0" xfId="0" applyAlignment="1" applyFont="1">
      <alignment horizontal="center"/>
    </xf>
    <xf borderId="5" fillId="0" fontId="5" numFmtId="0" xfId="0" applyAlignment="1" applyBorder="1" applyFont="1">
      <alignment horizontal="right"/>
    </xf>
    <xf borderId="0" fillId="0" fontId="5" numFmtId="164" xfId="0" applyFont="1" applyNumberFormat="1"/>
    <xf borderId="0" fillId="0" fontId="5" numFmtId="4" xfId="0" applyFont="1" applyNumberFormat="1"/>
    <xf borderId="0" fillId="0" fontId="5" numFmtId="3" xfId="0" applyFont="1" applyNumberFormat="1"/>
    <xf borderId="0" fillId="0" fontId="6" numFmtId="0" xfId="0" applyFont="1"/>
    <xf borderId="0" fillId="0" fontId="5" numFmtId="9" xfId="0" applyFont="1" applyNumberFormat="1"/>
    <xf borderId="0" fillId="0" fontId="5" numFmtId="10" xfId="0" applyFont="1" applyNumberFormat="1"/>
    <xf borderId="0" fillId="0" fontId="5" numFmtId="165" xfId="0" applyFont="1" applyNumberFormat="1"/>
    <xf borderId="7" fillId="2" fontId="7" numFmtId="0" xfId="0" applyBorder="1" applyFill="1" applyFont="1"/>
    <xf borderId="8" fillId="2" fontId="5" numFmtId="0" xfId="0" applyBorder="1" applyFont="1"/>
    <xf borderId="8" fillId="2" fontId="5" numFmtId="166" xfId="0" applyBorder="1" applyFont="1" applyNumberFormat="1"/>
    <xf borderId="9" fillId="2" fontId="5" numFmtId="0" xfId="0" applyBorder="1" applyFont="1"/>
    <xf borderId="10" fillId="2" fontId="5" numFmtId="0" xfId="0" applyBorder="1" applyFont="1"/>
    <xf borderId="11" fillId="2" fontId="5" numFmtId="0" xfId="0" applyBorder="1" applyFont="1"/>
    <xf borderId="11" fillId="2" fontId="5" numFmtId="166" xfId="0" applyBorder="1" applyFont="1" applyNumberFormat="1"/>
    <xf borderId="12" fillId="2" fontId="5" numFmtId="0" xfId="0" applyBorder="1" applyFont="1"/>
    <xf borderId="13" fillId="2" fontId="5" numFmtId="0" xfId="0" applyAlignment="1" applyBorder="1" applyFont="1">
      <alignment horizontal="right"/>
    </xf>
    <xf borderId="14" fillId="2" fontId="5" numFmtId="0" xfId="0" applyAlignment="1" applyBorder="1" applyFont="1">
      <alignment horizontal="right"/>
    </xf>
    <xf borderId="10" fillId="2" fontId="4" numFmtId="0" xfId="0" applyBorder="1" applyFont="1"/>
    <xf borderId="12" fillId="2" fontId="5" numFmtId="166" xfId="0" applyBorder="1" applyFont="1" applyNumberFormat="1"/>
    <xf borderId="11" fillId="2" fontId="5" numFmtId="167" xfId="0" applyBorder="1" applyFont="1" applyNumberFormat="1"/>
    <xf borderId="12" fillId="2" fontId="5" numFmtId="167" xfId="0" applyBorder="1" applyFont="1" applyNumberFormat="1"/>
    <xf borderId="12" fillId="2" fontId="5" numFmtId="10" xfId="0" applyBorder="1" applyFont="1" applyNumberFormat="1"/>
    <xf borderId="15" fillId="2" fontId="5" numFmtId="168" xfId="0" applyBorder="1" applyFont="1" applyNumberFormat="1"/>
    <xf borderId="15" fillId="2" fontId="5" numFmtId="167" xfId="0" applyBorder="1" applyFont="1" applyNumberFormat="1"/>
    <xf borderId="16" fillId="2" fontId="5" numFmtId="167" xfId="0" applyBorder="1" applyFont="1" applyNumberFormat="1"/>
    <xf borderId="16" fillId="2" fontId="5" numFmtId="10" xfId="0" applyBorder="1" applyFont="1" applyNumberFormat="1"/>
    <xf borderId="0" fillId="0" fontId="8" numFmtId="0" xfId="0" applyFont="1"/>
    <xf borderId="17" fillId="2" fontId="5" numFmtId="167" xfId="0" applyBorder="1" applyFont="1" applyNumberFormat="1"/>
    <xf borderId="18" fillId="2" fontId="5" numFmtId="167" xfId="0" applyBorder="1" applyFont="1" applyNumberFormat="1"/>
    <xf borderId="18" fillId="2" fontId="5" numFmtId="10" xfId="0" applyBorder="1" applyFont="1" applyNumberFormat="1"/>
    <xf borderId="19" fillId="2" fontId="5" numFmtId="0" xfId="0" applyBorder="1" applyFont="1"/>
    <xf borderId="13" fillId="2" fontId="5" numFmtId="0" xfId="0" applyBorder="1" applyFont="1"/>
    <xf borderId="20" fillId="2" fontId="5" numFmtId="167" xfId="0" applyBorder="1" applyFont="1" applyNumberFormat="1"/>
    <xf borderId="21" fillId="2" fontId="5" numFmtId="167" xfId="0" applyBorder="1" applyFont="1" applyNumberFormat="1"/>
    <xf borderId="21" fillId="2" fontId="5" numFmtId="10" xfId="0" applyBorder="1" applyFont="1" applyNumberFormat="1"/>
    <xf borderId="0" fillId="0" fontId="8" numFmtId="167" xfId="0" applyFont="1" applyNumberFormat="1"/>
    <xf borderId="0" fillId="0" fontId="8" numFmtId="10" xfId="0" applyFont="1" applyNumberFormat="1"/>
    <xf borderId="8" fillId="2" fontId="4" numFmtId="0" xfId="0" applyBorder="1" applyFont="1"/>
    <xf borderId="8" fillId="2" fontId="4" numFmtId="3" xfId="0" applyBorder="1" applyFont="1" applyNumberFormat="1"/>
    <xf borderId="9" fillId="2" fontId="4" numFmtId="0" xfId="0" applyBorder="1" applyFont="1"/>
    <xf borderId="11" fillId="2" fontId="5" numFmtId="3" xfId="0" applyBorder="1" applyFont="1" applyNumberFormat="1"/>
    <xf borderId="14" fillId="2" fontId="5" numFmtId="1" xfId="0" applyAlignment="1" applyBorder="1" applyFont="1" applyNumberFormat="1">
      <alignment horizontal="right"/>
    </xf>
    <xf borderId="12" fillId="2" fontId="5" numFmtId="1" xfId="0" applyBorder="1" applyFont="1" applyNumberFormat="1"/>
    <xf borderId="11" fillId="2" fontId="5" numFmtId="168" xfId="0" applyBorder="1" applyFont="1" applyNumberFormat="1"/>
    <xf borderId="12" fillId="2" fontId="5" numFmtId="168" xfId="0" applyBorder="1" applyFont="1" applyNumberFormat="1"/>
    <xf borderId="16" fillId="2" fontId="5" numFmtId="168" xfId="0" applyBorder="1" applyFont="1" applyNumberFormat="1"/>
    <xf quotePrefix="1" borderId="10" fillId="2" fontId="5" numFmtId="0" xfId="0" applyAlignment="1" applyBorder="1" applyFont="1">
      <alignment horizontal="left"/>
    </xf>
    <xf borderId="0" fillId="0" fontId="8" numFmtId="165" xfId="0" applyFont="1" applyNumberFormat="1"/>
    <xf borderId="11" fillId="2" fontId="5" numFmtId="9" xfId="0" applyBorder="1" applyFont="1" applyNumberFormat="1"/>
    <xf borderId="17" fillId="2" fontId="5" numFmtId="168" xfId="0" applyBorder="1" applyFont="1" applyNumberFormat="1"/>
    <xf borderId="18" fillId="2" fontId="5" numFmtId="168" xfId="0" applyBorder="1" applyFont="1" applyNumberFormat="1"/>
    <xf borderId="10" fillId="2" fontId="5" numFmtId="0" xfId="0" applyAlignment="1" applyBorder="1" applyFont="1">
      <alignment readingOrder="0"/>
    </xf>
    <xf quotePrefix="1" borderId="19" fillId="2" fontId="5" numFmtId="0" xfId="0" applyBorder="1" applyFont="1"/>
    <xf borderId="14" fillId="2" fontId="5" numFmtId="0" xfId="0" applyBorder="1" applyFont="1"/>
    <xf borderId="0" fillId="0" fontId="7" numFmtId="0" xfId="0" applyFont="1"/>
    <xf borderId="22" fillId="3" fontId="5" numFmtId="0" xfId="0" applyAlignment="1" applyBorder="1" applyFill="1" applyFont="1">
      <alignment horizontal="center"/>
    </xf>
    <xf borderId="23" fillId="0" fontId="2" numFmtId="0" xfId="0" applyBorder="1" applyFont="1"/>
    <xf borderId="24" fillId="0" fontId="2" numFmtId="0" xfId="0" applyBorder="1" applyFont="1"/>
    <xf borderId="11" fillId="3" fontId="5" numFmtId="0" xfId="0" applyBorder="1" applyFont="1"/>
    <xf borderId="11" fillId="3" fontId="8" numFmtId="0" xfId="0" applyBorder="1" applyFont="1"/>
    <xf borderId="0" fillId="4" fontId="9" numFmtId="0" xfId="0" applyFill="1" applyFont="1"/>
    <xf borderId="11" fillId="4" fontId="5" numFmtId="0" xfId="0" applyBorder="1" applyFont="1"/>
    <xf borderId="11" fillId="4" fontId="8" numFmtId="0" xfId="0" applyBorder="1" applyFont="1"/>
    <xf borderId="0" fillId="4" fontId="9" numFmtId="0" xfId="0" applyAlignment="1" applyFont="1">
      <alignment horizontal="center" readingOrder="0"/>
    </xf>
    <xf borderId="25" fillId="4" fontId="5" numFmtId="0" xfId="0" applyBorder="1" applyFont="1"/>
    <xf borderId="25" fillId="4" fontId="8" numFmtId="0" xfId="0" applyBorder="1" applyFont="1"/>
    <xf borderId="25" fillId="5" fontId="8" numFmtId="0" xfId="0" applyBorder="1" applyFill="1" applyFont="1"/>
    <xf borderId="13" fillId="4" fontId="5" numFmtId="0" xfId="0" applyAlignment="1" applyBorder="1" applyFont="1">
      <alignment horizontal="center"/>
    </xf>
    <xf borderId="7" fillId="2" fontId="5" numFmtId="0" xfId="0" applyAlignment="1" applyBorder="1" applyFont="1">
      <alignment readingOrder="0"/>
    </xf>
    <xf borderId="8" fillId="2" fontId="5" numFmtId="167" xfId="0" applyBorder="1" applyFont="1" applyNumberFormat="1"/>
    <xf borderId="9" fillId="2" fontId="5" numFmtId="167" xfId="0" applyBorder="1" applyFont="1" applyNumberFormat="1"/>
    <xf borderId="9" fillId="2" fontId="5" numFmtId="10" xfId="0" applyBorder="1" applyFont="1" applyNumberFormat="1"/>
    <xf borderId="0" fillId="0" fontId="6" numFmtId="0" xfId="0" applyAlignment="1" applyFont="1">
      <alignment vertical="center"/>
    </xf>
    <xf borderId="0" fillId="0" fontId="10" numFmtId="0" xfId="0" applyAlignment="1" applyFont="1">
      <alignment readingOrder="0"/>
    </xf>
    <xf borderId="11" fillId="2" fontId="5" numFmtId="10" xfId="0" applyBorder="1" applyFont="1" applyNumberFormat="1"/>
    <xf borderId="19" fillId="2" fontId="5" numFmtId="0" xfId="0" applyAlignment="1" applyBorder="1" applyFont="1">
      <alignment readingOrder="0"/>
    </xf>
    <xf borderId="13" fillId="2" fontId="5" numFmtId="169" xfId="0" applyBorder="1" applyFont="1" applyNumberFormat="1"/>
    <xf borderId="14" fillId="2" fontId="5" numFmtId="169" xfId="0" applyBorder="1" applyFont="1" applyNumberFormat="1"/>
    <xf borderId="13" fillId="2" fontId="5" numFmtId="167" xfId="0" applyBorder="1" applyFont="1" applyNumberFormat="1"/>
    <xf borderId="14" fillId="2" fontId="5" numFmtId="10" xfId="0" applyBorder="1" applyFont="1" applyNumberFormat="1"/>
    <xf borderId="11" fillId="6" fontId="5" numFmtId="0" xfId="0" applyBorder="1" applyFill="1" applyFont="1"/>
    <xf borderId="11" fillId="6" fontId="8" numFmtId="0" xfId="0" applyBorder="1" applyFont="1"/>
    <xf borderId="8" fillId="2" fontId="5" numFmtId="10" xfId="0" applyBorder="1" applyFont="1" applyNumberFormat="1"/>
    <xf borderId="13" fillId="2" fontId="5" numFmtId="10" xfId="0" applyBorder="1" applyFont="1" applyNumberFormat="1"/>
    <xf borderId="0" fillId="0" fontId="11" numFmtId="0" xfId="0" applyAlignment="1" applyFont="1">
      <alignment vertical="center"/>
    </xf>
    <xf borderId="0" fillId="0" fontId="11" numFmtId="0" xfId="0" applyFont="1"/>
    <xf borderId="11" fillId="7" fontId="8" numFmtId="0" xfId="0" applyBorder="1" applyFill="1" applyFont="1"/>
    <xf borderId="0" fillId="0" fontId="9" numFmtId="0" xfId="0" applyFont="1"/>
    <xf borderId="0" fillId="0" fontId="9" numFmtId="164" xfId="0" applyFont="1" applyNumberFormat="1"/>
    <xf borderId="0" fillId="0" fontId="8" numFmtId="3" xfId="0" applyFont="1" applyNumberFormat="1"/>
    <xf borderId="0" fillId="0" fontId="8" numFmtId="9" xfId="0" applyFont="1" applyNumberFormat="1"/>
    <xf borderId="0" fillId="0" fontId="9" numFmtId="165" xfId="0" applyFont="1" applyNumberFormat="1"/>
    <xf borderId="0" fillId="0" fontId="9" numFmtId="167" xfId="0" applyFont="1" applyNumberFormat="1"/>
    <xf borderId="0" fillId="0" fontId="9" numFmtId="168" xfId="0" applyFont="1" applyNumberFormat="1"/>
  </cellXfs>
  <cellStyles count="1">
    <cellStyle xfId="0" name="Normal" builtinId="0"/>
  </cellStyles>
  <dxfs count="0"/>
</styleSheet>
</file>

<file path=xl/_rels/workbook.xml.rels><?xml version="1.0" encoding="UTF-8" standalone="yes"?><Relationships xmlns="http://schemas.openxmlformats.org/package/2006/relationships"><Relationship Id="rId1" Type="http://schemas.openxmlformats.org/officeDocument/2006/relationships/theme" Target="theme/theme1.xml"/><Relationship Id="rId2" Type="http://schemas.openxmlformats.org/officeDocument/2006/relationships/styles" Target="styles.xml"/><Relationship Id="rId3" Type="http://schemas.openxmlformats.org/officeDocument/2006/relationships/sharedStrings" Target="sharedStrings.xml"/><Relationship Id="rId4" Type="http://schemas.openxmlformats.org/officeDocument/2006/relationships/worksheet" Target="worksheets/sheet1.xml"/><Relationship Id="rId5" Type="http://schemas.openxmlformats.org/officeDocument/2006/relationships/worksheet" Target="worksheets/sheet2.xml"/><Relationship Id="rId6" Type="http://schemas.openxmlformats.org/officeDocument/2006/relationships/worksheet" Target="worksheets/sheet3.xml"/><Relationship Id="rId7" Type="http://customschemas.google.com/relationships/workbookmetadata" Target="metadata"/></Relationships>
</file>

<file path=xl/drawings/drawing1.xml><?xml version="1.0" encoding="utf-8"?>
<xdr:wsDr xmlns:xdr="http://schemas.openxmlformats.org/drawingml/2006/spreadsheetDrawing" xmlns:a="http://schemas.openxmlformats.org/drawingml/2006/main" xmlns:r="http://schemas.openxmlformats.org/officeDocument/2006/relationships" xmlns:c="http://schemas.openxmlformats.org/drawingml/2006/chart" xmlns:cx="http://schemas.microsoft.com/office/drawing/2014/chartex" xmlns:cx1="http://schemas.microsoft.com/office/drawing/2015/9/8/chartex" xmlns:mc="http://schemas.openxmlformats.org/markup-compatibility/2006" xmlns:dgm="http://schemas.openxmlformats.org/drawingml/2006/diagram" xmlns:x3Unk="http://schemas.microsoft.com/office/drawing/2010/slicer" xmlns:sle15="http://schemas.microsoft.com/office/drawing/2012/slicer"/>
</file>

<file path=xl/drawings/drawing2.xml><?xml version="1.0" encoding="utf-8"?>
<xdr:wsDr xmlns:xdr="http://schemas.openxmlformats.org/drawingml/2006/spreadsheetDrawing" xmlns:a="http://schemas.openxmlformats.org/drawingml/2006/main" xmlns:r="http://schemas.openxmlformats.org/officeDocument/2006/relationships" xmlns:c="http://schemas.openxmlformats.org/drawingml/2006/chart" xmlns:cx="http://schemas.microsoft.com/office/drawing/2014/chartex" xmlns:cx1="http://schemas.microsoft.com/office/drawing/2015/9/8/chartex" xmlns:mc="http://schemas.openxmlformats.org/markup-compatibility/2006" xmlns:dgm="http://schemas.openxmlformats.org/drawingml/2006/diagram" xmlns:x3Unk="http://schemas.microsoft.com/office/drawing/2010/slicer" xmlns:sle15="http://schemas.microsoft.com/office/drawing/2012/slicer"/>
</file>

<file path=xl/drawings/drawing3.xml><?xml version="1.0" encoding="utf-8"?>
<xdr:wsDr xmlns:xdr="http://schemas.openxmlformats.org/drawingml/2006/spreadsheetDrawing" xmlns:a="http://schemas.openxmlformats.org/drawingml/2006/main" xmlns:r="http://schemas.openxmlformats.org/officeDocument/2006/relationships" xmlns:c="http://schemas.openxmlformats.org/drawingml/2006/chart" xmlns:cx="http://schemas.microsoft.com/office/drawing/2014/chartex" xmlns:cx1="http://schemas.microsoft.com/office/drawing/2015/9/8/chartex" xmlns:mc="http://schemas.openxmlformats.org/markup-compatibility/2006" xmlns:dgm="http://schemas.openxmlformats.org/drawingml/2006/diagram" xmlns:x3Unk="http://schemas.microsoft.com/office/drawing/2010/slicer" xmlns:sle15="http://schemas.microsoft.com/office/drawing/2012/slicer"/>
</file>

<file path=xl/theme/theme1.xml><?xml version="1.0" encoding="utf-8"?>
<a:theme xmlns:a="http://schemas.openxmlformats.org/drawingml/2006/main" xmlns:r="http://schemas.openxmlformats.org/officeDocument/2006/relationships" name="Sheets">
  <a:themeElements>
    <a:clrScheme name="Sheets">
      <a:dk1>
        <a:srgbClr val="000000"/>
      </a:dk1>
      <a:lt1>
        <a:srgbClr val="FFFFFF"/>
      </a:lt1>
      <a:dk2>
        <a:srgbClr val="000000"/>
      </a:dk2>
      <a:lt2>
        <a:srgbClr val="FFFFFF"/>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0000FF"/>
      </a:folHlink>
    </a:clrScheme>
    <a:fontScheme name="Sheets">
      <a:majorFont>
        <a:latin typeface="Arial"/>
        <a:ea typeface="Arial"/>
        <a:cs typeface="Arial"/>
      </a:majorFont>
      <a:minorFont>
        <a:latin typeface="Arial"/>
        <a:ea typeface="Arial"/>
        <a:cs typeface="Arial"/>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theme>
</file>

<file path=xl/worksheets/_rels/sheet1.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2.xml.rels><?xml version="1.0" encoding="UTF-8" standalone="yes"?><Relationships xmlns="http://schemas.openxmlformats.org/package/2006/relationships"><Relationship Id="rId1" Type="http://schemas.openxmlformats.org/officeDocument/2006/relationships/drawing" Target="../drawings/drawing2.xml"/></Relationships>
</file>

<file path=xl/worksheets/_rels/sheet3.xml.rels><?xml version="1.0" encoding="UTF-8" standalone="yes"?><Relationships xmlns="http://schemas.openxmlformats.org/package/2006/relationships"><Relationship Id="rId1" Type="http://schemas.openxmlformats.org/officeDocument/2006/relationships/drawing" Target="../drawings/drawing3.xml"/></Relationships>
</file>

<file path=xl/worksheets/sheet1.xml><?xml version="1.0" encoding="utf-8"?>
<worksheet xmlns="http://schemas.openxmlformats.org/spreadsheetml/2006/main" xmlns:r="http://schemas.openxmlformats.org/officeDocument/2006/relationships" xmlns:mx="http://schemas.microsoft.com/office/mac/excel/2008/main" xmlns:mc="http://schemas.openxmlformats.org/markup-compatibility/2006" xmlns:mv="urn:schemas-microsoft-com:mac:vml" xmlns:x14="http://schemas.microsoft.com/office/spreadsheetml/2009/9/main" xmlns:x15="http://schemas.microsoft.com/office/spreadsheetml/2010/11/main" xmlns:x14ac="http://schemas.microsoft.com/office/spreadsheetml/2009/9/ac" xmlns:xm="http://schemas.microsoft.com/office/excel/2006/main">
  <sheetPr>
    <pageSetUpPr/>
  </sheetPr>
  <sheetViews>
    <sheetView showGridLines="0" workbookViewId="0"/>
  </sheetViews>
  <sheetFormatPr customHeight="1" defaultColWidth="12.63" defaultRowHeight="15.0"/>
  <cols>
    <col customWidth="1" min="1" max="1" width="12.63"/>
    <col customWidth="1" min="2" max="5" width="10.63"/>
    <col customWidth="1" min="6" max="6" width="40.63"/>
    <col customWidth="1" hidden="1" min="7" max="7" width="10.63"/>
    <col customWidth="1" min="8" max="8" width="10.63"/>
    <col customWidth="1" min="9" max="9" width="10.88"/>
    <col customWidth="1" min="10" max="10" width="9.63"/>
    <col customWidth="1" min="11" max="11" width="9.25"/>
    <col customWidth="1" min="12" max="26" width="10.63"/>
  </cols>
  <sheetData>
    <row r="1" ht="12.75" customHeight="1"/>
    <row r="2" ht="12.75" customHeight="1">
      <c r="B2" s="1" t="s">
        <v>0</v>
      </c>
      <c r="C2" s="2"/>
      <c r="D2" s="2"/>
      <c r="E2" s="2"/>
      <c r="F2" s="2"/>
      <c r="G2" s="2"/>
      <c r="H2" s="2"/>
      <c r="I2" s="3"/>
    </row>
    <row r="3" ht="12.75" customHeight="1">
      <c r="B3" s="4"/>
      <c r="C3" s="5"/>
      <c r="D3" s="5"/>
      <c r="E3" s="5"/>
      <c r="F3" s="5"/>
      <c r="G3" s="5"/>
      <c r="H3" s="5"/>
      <c r="I3" s="6"/>
    </row>
    <row r="4" ht="12.75" customHeight="1">
      <c r="B4" s="7" t="s">
        <v>1</v>
      </c>
      <c r="C4" s="8"/>
      <c r="D4" s="8"/>
      <c r="E4" s="8"/>
      <c r="F4" s="8"/>
      <c r="G4" s="8"/>
      <c r="H4" s="8"/>
      <c r="I4" s="8"/>
    </row>
    <row r="5" ht="12.75" customHeight="1">
      <c r="B5" s="9"/>
      <c r="C5" s="10"/>
      <c r="D5" s="10"/>
      <c r="E5" s="10"/>
      <c r="F5" s="10"/>
      <c r="G5" s="11" t="s">
        <v>2</v>
      </c>
      <c r="H5" s="11" t="s">
        <v>3</v>
      </c>
      <c r="I5" s="11" t="s">
        <v>4</v>
      </c>
      <c r="J5" s="11" t="s">
        <v>5</v>
      </c>
      <c r="K5" s="11" t="s">
        <v>6</v>
      </c>
    </row>
    <row r="6" ht="12.75" customHeight="1">
      <c r="B6" s="9" t="s">
        <v>7</v>
      </c>
      <c r="C6" s="9"/>
      <c r="D6" s="9"/>
      <c r="E6" s="9"/>
      <c r="F6" s="9"/>
      <c r="G6" s="12">
        <v>23.0</v>
      </c>
      <c r="H6" s="12">
        <v>23.0</v>
      </c>
      <c r="I6" s="12">
        <v>26.0</v>
      </c>
      <c r="J6" s="13">
        <f t="shared" ref="J6:J9" si="1">+H6-I6</f>
        <v>-3</v>
      </c>
      <c r="K6" s="13">
        <f t="shared" ref="K6:K9" si="2">+H6/I6-1</f>
        <v>-0.1153846154</v>
      </c>
    </row>
    <row r="7" ht="12.75" customHeight="1">
      <c r="B7" s="9" t="s">
        <v>8</v>
      </c>
      <c r="C7" s="9"/>
      <c r="D7" s="9"/>
      <c r="E7" s="9"/>
      <c r="F7" s="9"/>
      <c r="G7" s="14">
        <v>50.0</v>
      </c>
      <c r="H7" s="14">
        <v>50.0</v>
      </c>
      <c r="I7" s="14">
        <v>50.0</v>
      </c>
      <c r="J7" s="13">
        <f t="shared" si="1"/>
        <v>0</v>
      </c>
      <c r="K7" s="13">
        <f t="shared" si="2"/>
        <v>0</v>
      </c>
    </row>
    <row r="8" ht="12.75" customHeight="1">
      <c r="A8" s="15"/>
      <c r="B8" s="9" t="s">
        <v>9</v>
      </c>
      <c r="C8" s="9"/>
      <c r="D8" s="9"/>
      <c r="E8" s="9"/>
      <c r="F8" s="9"/>
      <c r="G8" s="16">
        <v>0.4</v>
      </c>
      <c r="H8" s="16">
        <v>0.4</v>
      </c>
      <c r="I8" s="16">
        <v>0.4</v>
      </c>
      <c r="J8" s="17">
        <f t="shared" si="1"/>
        <v>0</v>
      </c>
      <c r="K8" s="17">
        <f t="shared" si="2"/>
        <v>0</v>
      </c>
    </row>
    <row r="9" ht="12.75" customHeight="1">
      <c r="A9" s="15"/>
      <c r="B9" s="9" t="s">
        <v>10</v>
      </c>
      <c r="C9" s="9"/>
      <c r="D9" s="9"/>
      <c r="E9" s="9"/>
      <c r="F9" s="9"/>
      <c r="G9" s="18">
        <v>0.112</v>
      </c>
      <c r="H9" s="18">
        <v>0.11</v>
      </c>
      <c r="I9" s="18">
        <v>0.108</v>
      </c>
      <c r="J9" s="17">
        <f t="shared" si="1"/>
        <v>0.002</v>
      </c>
      <c r="K9" s="17">
        <f t="shared" si="2"/>
        <v>0.01851851852</v>
      </c>
    </row>
    <row r="10" ht="12.75" customHeight="1">
      <c r="B10" s="9"/>
      <c r="C10" s="9"/>
      <c r="D10" s="9"/>
      <c r="E10" s="9"/>
      <c r="F10" s="9"/>
      <c r="G10" s="9"/>
      <c r="H10" s="9"/>
      <c r="I10" s="9"/>
    </row>
    <row r="11" ht="12.75" customHeight="1">
      <c r="B11" s="19" t="s">
        <v>11</v>
      </c>
      <c r="C11" s="20"/>
      <c r="D11" s="21"/>
      <c r="E11" s="21"/>
      <c r="F11" s="21"/>
      <c r="G11" s="20"/>
      <c r="H11" s="20"/>
      <c r="I11" s="22"/>
      <c r="J11" s="20"/>
      <c r="K11" s="22"/>
    </row>
    <row r="12" ht="12.75" customHeight="1">
      <c r="B12" s="23" t="s">
        <v>12</v>
      </c>
      <c r="C12" s="24"/>
      <c r="D12" s="25"/>
      <c r="E12" s="25"/>
      <c r="F12" s="25"/>
      <c r="G12" s="24"/>
      <c r="H12" s="24"/>
      <c r="I12" s="26"/>
      <c r="J12" s="24"/>
      <c r="K12" s="26"/>
    </row>
    <row r="13" ht="12.75" customHeight="1">
      <c r="B13" s="23"/>
      <c r="C13" s="24"/>
      <c r="D13" s="24"/>
      <c r="E13" s="24"/>
      <c r="F13" s="24"/>
      <c r="G13" s="27" t="str">
        <f t="shared" ref="G13:I13" si="3">G5</f>
        <v>AÑO 2</v>
      </c>
      <c r="H13" s="27" t="str">
        <f t="shared" si="3"/>
        <v>AÑO 1</v>
      </c>
      <c r="I13" s="28" t="str">
        <f t="shared" si="3"/>
        <v>AÑO 0</v>
      </c>
      <c r="J13" s="27" t="s">
        <v>5</v>
      </c>
      <c r="K13" s="28" t="s">
        <v>6</v>
      </c>
    </row>
    <row r="14" ht="12.75" customHeight="1">
      <c r="B14" s="29" t="s">
        <v>13</v>
      </c>
      <c r="C14" s="24"/>
      <c r="D14" s="24"/>
      <c r="E14" s="24"/>
      <c r="F14" s="24"/>
      <c r="G14" s="24"/>
      <c r="H14" s="24"/>
      <c r="I14" s="30"/>
      <c r="J14" s="24"/>
      <c r="K14" s="30"/>
    </row>
    <row r="15" ht="12.75" customHeight="1">
      <c r="B15" s="23" t="s">
        <v>14</v>
      </c>
      <c r="C15" s="24"/>
      <c r="D15" s="24"/>
      <c r="E15" s="24"/>
      <c r="F15" s="24"/>
      <c r="G15" s="31" t="str">
        <f t="shared" ref="G15:H15" si="4">H107</f>
        <v/>
      </c>
      <c r="H15" s="31" t="str">
        <f t="shared" si="4"/>
        <v/>
      </c>
      <c r="I15" s="32">
        <v>15.0</v>
      </c>
      <c r="J15" s="31">
        <f t="shared" ref="J15:J21" si="5">+H15-I15</f>
        <v>-15</v>
      </c>
      <c r="K15" s="33">
        <f t="shared" ref="K15:K21" si="6">+H15/I15-1</f>
        <v>-1</v>
      </c>
    </row>
    <row r="16" ht="12.75" customHeight="1">
      <c r="B16" s="23" t="s">
        <v>15</v>
      </c>
      <c r="C16" s="24"/>
      <c r="D16" s="24"/>
      <c r="E16" s="24"/>
      <c r="F16" s="24"/>
      <c r="G16" s="31">
        <v>0.0</v>
      </c>
      <c r="H16" s="31">
        <v>0.0</v>
      </c>
      <c r="I16" s="32">
        <v>65.0</v>
      </c>
      <c r="J16" s="31">
        <f t="shared" si="5"/>
        <v>-65</v>
      </c>
      <c r="K16" s="33">
        <f t="shared" si="6"/>
        <v>-1</v>
      </c>
    </row>
    <row r="17" ht="12.75" customHeight="1">
      <c r="B17" s="23" t="s">
        <v>16</v>
      </c>
      <c r="C17" s="24"/>
      <c r="D17" s="24"/>
      <c r="E17" s="24"/>
      <c r="F17" s="24"/>
      <c r="G17" s="31">
        <v>375.0</v>
      </c>
      <c r="H17" s="31">
        <v>375.0</v>
      </c>
      <c r="I17" s="32">
        <v>315.0</v>
      </c>
      <c r="J17" s="31">
        <f t="shared" si="5"/>
        <v>60</v>
      </c>
      <c r="K17" s="33">
        <f t="shared" si="6"/>
        <v>0.1904761905</v>
      </c>
    </row>
    <row r="18" ht="12.75" customHeight="1">
      <c r="B18" s="23" t="s">
        <v>17</v>
      </c>
      <c r="C18" s="24"/>
      <c r="D18" s="24"/>
      <c r="E18" s="24"/>
      <c r="F18" s="24"/>
      <c r="G18" s="34">
        <v>615.0</v>
      </c>
      <c r="H18" s="35">
        <v>615.0</v>
      </c>
      <c r="I18" s="36">
        <v>415.0</v>
      </c>
      <c r="J18" s="35">
        <f t="shared" si="5"/>
        <v>200</v>
      </c>
      <c r="K18" s="37">
        <f t="shared" si="6"/>
        <v>0.4819277108</v>
      </c>
      <c r="M18" s="38"/>
    </row>
    <row r="19" ht="12.75" customHeight="1">
      <c r="B19" s="23" t="s">
        <v>18</v>
      </c>
      <c r="C19" s="24"/>
      <c r="D19" s="24"/>
      <c r="E19" s="24"/>
      <c r="F19" s="24"/>
      <c r="G19" s="31">
        <f t="shared" ref="G19:I19" si="7">SUM(G15:G18)</f>
        <v>990</v>
      </c>
      <c r="H19" s="31">
        <f t="shared" si="7"/>
        <v>990</v>
      </c>
      <c r="I19" s="32">
        <f t="shared" si="7"/>
        <v>810</v>
      </c>
      <c r="J19" s="31">
        <f t="shared" si="5"/>
        <v>180</v>
      </c>
      <c r="K19" s="33">
        <f t="shared" si="6"/>
        <v>0.2222222222</v>
      </c>
    </row>
    <row r="20" ht="12.75" customHeight="1">
      <c r="B20" s="23" t="s">
        <v>19</v>
      </c>
      <c r="C20" s="24"/>
      <c r="D20" s="24"/>
      <c r="E20" s="24"/>
      <c r="F20" s="24"/>
      <c r="G20" s="31">
        <v>1000.0</v>
      </c>
      <c r="H20" s="31">
        <v>1000.0</v>
      </c>
      <c r="I20" s="32">
        <v>870.0</v>
      </c>
      <c r="J20" s="31">
        <f t="shared" si="5"/>
        <v>130</v>
      </c>
      <c r="K20" s="33">
        <f t="shared" si="6"/>
        <v>0.1494252874</v>
      </c>
    </row>
    <row r="21" ht="12.75" customHeight="1">
      <c r="B21" s="23" t="s">
        <v>20</v>
      </c>
      <c r="C21" s="24"/>
      <c r="D21" s="24"/>
      <c r="E21" s="24"/>
      <c r="F21" s="24"/>
      <c r="G21" s="39">
        <f t="shared" ref="G21:I21" si="8">SUM(G19:G20)</f>
        <v>1990</v>
      </c>
      <c r="H21" s="39">
        <f t="shared" si="8"/>
        <v>1990</v>
      </c>
      <c r="I21" s="40">
        <f t="shared" si="8"/>
        <v>1680</v>
      </c>
      <c r="J21" s="39">
        <f t="shared" si="5"/>
        <v>310</v>
      </c>
      <c r="K21" s="41">
        <f t="shared" si="6"/>
        <v>0.1845238095</v>
      </c>
    </row>
    <row r="22" ht="12.75" customHeight="1">
      <c r="B22" s="23"/>
      <c r="C22" s="24"/>
      <c r="D22" s="24"/>
      <c r="E22" s="24"/>
      <c r="F22" s="24"/>
      <c r="G22" s="31"/>
      <c r="H22" s="31"/>
      <c r="I22" s="32"/>
      <c r="J22" s="31"/>
      <c r="K22" s="33"/>
    </row>
    <row r="23" ht="12.75" customHeight="1">
      <c r="B23" s="29" t="s">
        <v>21</v>
      </c>
      <c r="C23" s="24"/>
      <c r="D23" s="24"/>
      <c r="E23" s="24"/>
      <c r="F23" s="24"/>
      <c r="G23" s="31"/>
      <c r="H23" s="31"/>
      <c r="I23" s="32"/>
      <c r="J23" s="31"/>
      <c r="K23" s="33"/>
    </row>
    <row r="24" ht="12.75" customHeight="1">
      <c r="B24" s="23" t="s">
        <v>22</v>
      </c>
      <c r="C24" s="24"/>
      <c r="D24" s="24"/>
      <c r="E24" s="24"/>
      <c r="F24" s="24"/>
      <c r="G24" s="31">
        <v>60.0</v>
      </c>
      <c r="H24" s="31">
        <v>60.0</v>
      </c>
      <c r="I24" s="32">
        <v>30.0</v>
      </c>
      <c r="J24" s="31">
        <f t="shared" ref="J24:J34" si="9">+H24-I24</f>
        <v>30</v>
      </c>
      <c r="K24" s="33">
        <f t="shared" ref="K24:K34" si="10">+H24/I24-1</f>
        <v>1</v>
      </c>
    </row>
    <row r="25" ht="12.75" customHeight="1">
      <c r="B25" s="23" t="s">
        <v>23</v>
      </c>
      <c r="C25" s="24"/>
      <c r="D25" s="24"/>
      <c r="E25" s="24"/>
      <c r="F25" s="24"/>
      <c r="G25" s="31">
        <v>110.0</v>
      </c>
      <c r="H25" s="31">
        <v>110.0</v>
      </c>
      <c r="I25" s="32">
        <v>60.0</v>
      </c>
      <c r="J25" s="31">
        <f t="shared" si="9"/>
        <v>50</v>
      </c>
      <c r="K25" s="33">
        <f t="shared" si="10"/>
        <v>0.8333333333</v>
      </c>
    </row>
    <row r="26" ht="12.75" customHeight="1">
      <c r="B26" s="23" t="s">
        <v>24</v>
      </c>
      <c r="C26" s="24"/>
      <c r="D26" s="24"/>
      <c r="E26" s="24"/>
      <c r="F26" s="24"/>
      <c r="G26" s="35">
        <v>140.0</v>
      </c>
      <c r="H26" s="35">
        <v>140.0</v>
      </c>
      <c r="I26" s="36">
        <v>130.0</v>
      </c>
      <c r="J26" s="35">
        <f t="shared" si="9"/>
        <v>10</v>
      </c>
      <c r="K26" s="37">
        <f t="shared" si="10"/>
        <v>0.07692307692</v>
      </c>
    </row>
    <row r="27" ht="12.75" customHeight="1">
      <c r="B27" s="23" t="s">
        <v>25</v>
      </c>
      <c r="C27" s="24"/>
      <c r="D27" s="24"/>
      <c r="E27" s="24"/>
      <c r="F27" s="24"/>
      <c r="G27" s="31">
        <f t="shared" ref="G27:I27" si="11">SUM(G24:G26)</f>
        <v>310</v>
      </c>
      <c r="H27" s="31">
        <f t="shared" si="11"/>
        <v>310</v>
      </c>
      <c r="I27" s="32">
        <f t="shared" si="11"/>
        <v>220</v>
      </c>
      <c r="J27" s="31">
        <f t="shared" si="9"/>
        <v>90</v>
      </c>
      <c r="K27" s="33">
        <f t="shared" si="10"/>
        <v>0.4090909091</v>
      </c>
    </row>
    <row r="28" ht="12.75" customHeight="1">
      <c r="B28" s="23" t="s">
        <v>26</v>
      </c>
      <c r="C28" s="24"/>
      <c r="D28" s="24"/>
      <c r="E28" s="24"/>
      <c r="F28" s="24"/>
      <c r="G28" s="35">
        <v>754.0</v>
      </c>
      <c r="H28" s="35">
        <v>754.0</v>
      </c>
      <c r="I28" s="36">
        <v>580.0</v>
      </c>
      <c r="J28" s="35">
        <f t="shared" si="9"/>
        <v>174</v>
      </c>
      <c r="K28" s="37">
        <f t="shared" si="10"/>
        <v>0.3</v>
      </c>
    </row>
    <row r="29" ht="12.75" customHeight="1">
      <c r="B29" s="23" t="s">
        <v>27</v>
      </c>
      <c r="C29" s="24"/>
      <c r="D29" s="24"/>
      <c r="E29" s="24"/>
      <c r="F29" s="24"/>
      <c r="G29" s="31">
        <f t="shared" ref="G29:I29" si="12">SUM(G27:G28)</f>
        <v>1064</v>
      </c>
      <c r="H29" s="31">
        <f t="shared" si="12"/>
        <v>1064</v>
      </c>
      <c r="I29" s="32">
        <f t="shared" si="12"/>
        <v>800</v>
      </c>
      <c r="J29" s="31">
        <f t="shared" si="9"/>
        <v>264</v>
      </c>
      <c r="K29" s="33">
        <f t="shared" si="10"/>
        <v>0.33</v>
      </c>
    </row>
    <row r="30" ht="12.75" customHeight="1">
      <c r="B30" s="23" t="s">
        <v>28</v>
      </c>
      <c r="C30" s="24"/>
      <c r="D30" s="24"/>
      <c r="E30" s="24"/>
      <c r="F30" s="24"/>
      <c r="G30" s="31">
        <v>40.0</v>
      </c>
      <c r="H30" s="31">
        <v>40.0</v>
      </c>
      <c r="I30" s="32">
        <v>40.0</v>
      </c>
      <c r="J30" s="31">
        <f t="shared" si="9"/>
        <v>0</v>
      </c>
      <c r="K30" s="33">
        <f t="shared" si="10"/>
        <v>0</v>
      </c>
    </row>
    <row r="31" ht="12.75" customHeight="1">
      <c r="B31" s="23" t="s">
        <v>29</v>
      </c>
      <c r="C31" s="24"/>
      <c r="D31" s="24"/>
      <c r="E31" s="24"/>
      <c r="F31" s="24"/>
      <c r="G31" s="31">
        <v>130.0</v>
      </c>
      <c r="H31" s="31">
        <v>130.0</v>
      </c>
      <c r="I31" s="32">
        <v>130.0</v>
      </c>
      <c r="J31" s="31">
        <f t="shared" si="9"/>
        <v>0</v>
      </c>
      <c r="K31" s="33">
        <f t="shared" si="10"/>
        <v>0</v>
      </c>
    </row>
    <row r="32" ht="12.75" customHeight="1">
      <c r="B32" s="23" t="s">
        <v>30</v>
      </c>
      <c r="C32" s="24"/>
      <c r="D32" s="24"/>
      <c r="E32" s="24"/>
      <c r="F32" s="24"/>
      <c r="G32" s="35">
        <f t="shared" ref="G32:H32" si="13">H32+G53</f>
        <v>881.96</v>
      </c>
      <c r="H32" s="35">
        <f t="shared" si="13"/>
        <v>765.98</v>
      </c>
      <c r="I32" s="36">
        <v>710.0</v>
      </c>
      <c r="J32" s="35">
        <f t="shared" si="9"/>
        <v>55.98</v>
      </c>
      <c r="K32" s="37">
        <f t="shared" si="10"/>
        <v>0.07884507042</v>
      </c>
    </row>
    <row r="33" ht="12.75" customHeight="1">
      <c r="B33" s="23" t="s">
        <v>31</v>
      </c>
      <c r="C33" s="24"/>
      <c r="D33" s="24"/>
      <c r="E33" s="24"/>
      <c r="F33" s="24"/>
      <c r="G33" s="31">
        <f t="shared" ref="G33:I33" si="14">SUM(G31:G32)</f>
        <v>1011.96</v>
      </c>
      <c r="H33" s="31">
        <f t="shared" si="14"/>
        <v>895.98</v>
      </c>
      <c r="I33" s="32">
        <f t="shared" si="14"/>
        <v>840</v>
      </c>
      <c r="J33" s="31">
        <f t="shared" si="9"/>
        <v>55.98</v>
      </c>
      <c r="K33" s="33">
        <f t="shared" si="10"/>
        <v>0.06664285714</v>
      </c>
    </row>
    <row r="34" ht="12.75" customHeight="1">
      <c r="B34" s="42" t="s">
        <v>32</v>
      </c>
      <c r="C34" s="43"/>
      <c r="D34" s="43"/>
      <c r="E34" s="43"/>
      <c r="F34" s="43"/>
      <c r="G34" s="44">
        <f t="shared" ref="G34:I34" si="15">SUM(G29,G30,G33)</f>
        <v>2115.96</v>
      </c>
      <c r="H34" s="44">
        <f t="shared" si="15"/>
        <v>1999.98</v>
      </c>
      <c r="I34" s="45">
        <f t="shared" si="15"/>
        <v>1680</v>
      </c>
      <c r="J34" s="44">
        <f t="shared" si="9"/>
        <v>319.98</v>
      </c>
      <c r="K34" s="46">
        <f t="shared" si="10"/>
        <v>0.1904642857</v>
      </c>
    </row>
    <row r="35" ht="12.75" customHeight="1">
      <c r="B35" s="9"/>
      <c r="C35" s="9"/>
      <c r="D35" s="9"/>
      <c r="E35" s="9"/>
      <c r="F35" s="9"/>
      <c r="G35" s="9"/>
      <c r="H35" s="9"/>
      <c r="I35" s="9"/>
      <c r="J35" s="47"/>
      <c r="K35" s="48"/>
    </row>
    <row r="36" ht="12.75" customHeight="1">
      <c r="B36" s="19" t="s">
        <v>11</v>
      </c>
      <c r="C36" s="49"/>
      <c r="D36" s="50"/>
      <c r="E36" s="50"/>
      <c r="F36" s="50"/>
      <c r="G36" s="49"/>
      <c r="H36" s="49"/>
      <c r="I36" s="51"/>
      <c r="J36" s="49"/>
      <c r="K36" s="51"/>
    </row>
    <row r="37" ht="12.75" customHeight="1">
      <c r="B37" s="23" t="s">
        <v>33</v>
      </c>
      <c r="C37" s="24"/>
      <c r="D37" s="52"/>
      <c r="E37" s="52"/>
      <c r="F37" s="52"/>
      <c r="G37" s="24"/>
      <c r="H37" s="24"/>
      <c r="I37" s="26"/>
      <c r="J37" s="24"/>
      <c r="K37" s="26"/>
    </row>
    <row r="38" ht="12.75" customHeight="1">
      <c r="B38" s="23"/>
      <c r="C38" s="24"/>
      <c r="D38" s="24"/>
      <c r="E38" s="24"/>
      <c r="F38" s="24"/>
      <c r="G38" s="27" t="str">
        <f t="shared" ref="G38:I38" si="16">G5</f>
        <v>AÑO 2</v>
      </c>
      <c r="H38" s="27" t="str">
        <f t="shared" si="16"/>
        <v>AÑO 1</v>
      </c>
      <c r="I38" s="53" t="str">
        <f t="shared" si="16"/>
        <v>AÑO 0</v>
      </c>
      <c r="J38" s="27" t="s">
        <v>5</v>
      </c>
      <c r="K38" s="53" t="s">
        <v>6</v>
      </c>
    </row>
    <row r="39" ht="12.75" customHeight="1">
      <c r="B39" s="23" t="s">
        <v>34</v>
      </c>
      <c r="C39" s="24"/>
      <c r="D39" s="24"/>
      <c r="E39" s="24"/>
      <c r="F39" s="24"/>
      <c r="G39" s="24"/>
      <c r="H39" s="24"/>
      <c r="I39" s="54"/>
      <c r="J39" s="24"/>
      <c r="K39" s="54"/>
    </row>
    <row r="40" ht="12.75" customHeight="1">
      <c r="B40" s="23" t="s">
        <v>35</v>
      </c>
      <c r="C40" s="24"/>
      <c r="D40" s="24"/>
      <c r="E40" s="24"/>
      <c r="F40" s="24"/>
      <c r="G40" s="55">
        <v>3100.0</v>
      </c>
      <c r="H40" s="55">
        <v>3000.0</v>
      </c>
      <c r="I40" s="56">
        <v>2850.0</v>
      </c>
      <c r="J40" s="55">
        <f t="shared" ref="J40:J50" si="17">+H40-I40</f>
        <v>150</v>
      </c>
      <c r="K40" s="33">
        <f t="shared" ref="K40:K50" si="18">+H40/I40-1</f>
        <v>0.05263157895</v>
      </c>
      <c r="M40" s="38"/>
    </row>
    <row r="41" ht="12.75" customHeight="1">
      <c r="B41" s="23" t="s">
        <v>36</v>
      </c>
      <c r="C41" s="24"/>
      <c r="D41" s="24"/>
      <c r="E41" s="24"/>
      <c r="F41" s="24"/>
      <c r="G41" s="34">
        <v>2616.2</v>
      </c>
      <c r="H41" s="34">
        <v>2616.2</v>
      </c>
      <c r="I41" s="57">
        <v>2497.0</v>
      </c>
      <c r="J41" s="34">
        <f t="shared" si="17"/>
        <v>119.2</v>
      </c>
      <c r="K41" s="37">
        <f t="shared" si="18"/>
        <v>0.04773728474</v>
      </c>
    </row>
    <row r="42" ht="12.75" customHeight="1">
      <c r="B42" s="58" t="s">
        <v>37</v>
      </c>
      <c r="C42" s="24"/>
      <c r="D42" s="24"/>
      <c r="E42" s="24"/>
      <c r="F42" s="24"/>
      <c r="G42" s="55">
        <f t="shared" ref="G42:I42" si="19">G40-G41</f>
        <v>483.8</v>
      </c>
      <c r="H42" s="55">
        <f t="shared" si="19"/>
        <v>383.8</v>
      </c>
      <c r="I42" s="56">
        <f t="shared" si="19"/>
        <v>353</v>
      </c>
      <c r="J42" s="55">
        <f t="shared" si="17"/>
        <v>30.8</v>
      </c>
      <c r="K42" s="33">
        <f t="shared" si="18"/>
        <v>0.08725212465</v>
      </c>
    </row>
    <row r="43" ht="12.75" customHeight="1">
      <c r="B43" s="23" t="s">
        <v>38</v>
      </c>
      <c r="C43" s="24"/>
      <c r="D43" s="24"/>
      <c r="E43" s="24"/>
      <c r="F43" s="24"/>
      <c r="G43" s="34">
        <v>100.0</v>
      </c>
      <c r="H43" s="34">
        <v>100.0</v>
      </c>
      <c r="I43" s="57">
        <v>90.0</v>
      </c>
      <c r="J43" s="34">
        <f t="shared" si="17"/>
        <v>10</v>
      </c>
      <c r="K43" s="37">
        <f t="shared" si="18"/>
        <v>0.1111111111</v>
      </c>
    </row>
    <row r="44" ht="12.75" customHeight="1">
      <c r="B44" s="23" t="s">
        <v>39</v>
      </c>
      <c r="C44" s="24"/>
      <c r="D44" s="24"/>
      <c r="E44" s="24"/>
      <c r="F44" s="24"/>
      <c r="G44" s="55">
        <f t="shared" ref="G44:I44" si="20">G42-G43</f>
        <v>383.8</v>
      </c>
      <c r="H44" s="55">
        <f t="shared" si="20"/>
        <v>283.8</v>
      </c>
      <c r="I44" s="56">
        <f t="shared" si="20"/>
        <v>263</v>
      </c>
      <c r="J44" s="55">
        <f t="shared" si="17"/>
        <v>20.8</v>
      </c>
      <c r="K44" s="33">
        <f t="shared" si="18"/>
        <v>0.07908745247</v>
      </c>
    </row>
    <row r="45" ht="12.75" customHeight="1">
      <c r="B45" s="23" t="s">
        <v>40</v>
      </c>
      <c r="C45" s="24"/>
      <c r="D45" s="24"/>
      <c r="E45" s="24"/>
      <c r="F45" s="24"/>
      <c r="G45" s="34">
        <v>88.0</v>
      </c>
      <c r="H45" s="34">
        <v>88.0</v>
      </c>
      <c r="I45" s="57">
        <v>60.0</v>
      </c>
      <c r="J45" s="34">
        <f t="shared" si="17"/>
        <v>28</v>
      </c>
      <c r="K45" s="37">
        <f t="shared" si="18"/>
        <v>0.4666666667</v>
      </c>
      <c r="L45" s="59"/>
      <c r="M45" s="59"/>
      <c r="N45" s="59"/>
    </row>
    <row r="46" ht="12.75" customHeight="1">
      <c r="B46" s="23" t="s">
        <v>41</v>
      </c>
      <c r="C46" s="24"/>
      <c r="D46" s="24"/>
      <c r="E46" s="24"/>
      <c r="F46" s="24"/>
      <c r="G46" s="55">
        <f t="shared" ref="G46:I46" si="21">G44-G45</f>
        <v>295.8</v>
      </c>
      <c r="H46" s="55">
        <f t="shared" si="21"/>
        <v>195.8</v>
      </c>
      <c r="I46" s="56">
        <f t="shared" si="21"/>
        <v>203</v>
      </c>
      <c r="J46" s="55">
        <f t="shared" si="17"/>
        <v>-7.2</v>
      </c>
      <c r="K46" s="33">
        <f t="shared" si="18"/>
        <v>-0.0354679803</v>
      </c>
    </row>
    <row r="47" ht="12.75" customHeight="1">
      <c r="B47" s="23" t="s">
        <v>42</v>
      </c>
      <c r="C47" s="60"/>
      <c r="D47" s="24"/>
      <c r="E47" s="24"/>
      <c r="F47" s="24"/>
      <c r="G47" s="34">
        <f t="shared" ref="G47:I47" si="22">G46*G8</f>
        <v>118.32</v>
      </c>
      <c r="H47" s="34">
        <f t="shared" si="22"/>
        <v>78.32</v>
      </c>
      <c r="I47" s="57">
        <f t="shared" si="22"/>
        <v>81.2</v>
      </c>
      <c r="J47" s="34">
        <f t="shared" si="17"/>
        <v>-2.88</v>
      </c>
      <c r="K47" s="37">
        <f t="shared" si="18"/>
        <v>-0.0354679803</v>
      </c>
    </row>
    <row r="48" ht="12.75" customHeight="1">
      <c r="B48" s="23" t="s">
        <v>43</v>
      </c>
      <c r="C48" s="24"/>
      <c r="D48" s="24"/>
      <c r="E48" s="24"/>
      <c r="F48" s="24"/>
      <c r="G48" s="55">
        <f t="shared" ref="G48:I48" si="23">G46-G47</f>
        <v>177.48</v>
      </c>
      <c r="H48" s="55">
        <f t="shared" si="23"/>
        <v>117.48</v>
      </c>
      <c r="I48" s="56">
        <f t="shared" si="23"/>
        <v>121.8</v>
      </c>
      <c r="J48" s="55">
        <f t="shared" si="17"/>
        <v>-4.32</v>
      </c>
      <c r="K48" s="33">
        <f t="shared" si="18"/>
        <v>-0.0354679803</v>
      </c>
      <c r="L48" s="59"/>
      <c r="M48" s="59"/>
      <c r="N48" s="59"/>
    </row>
    <row r="49" ht="12.75" customHeight="1">
      <c r="B49" s="23" t="s">
        <v>44</v>
      </c>
      <c r="C49" s="24"/>
      <c r="D49" s="24"/>
      <c r="E49" s="24"/>
      <c r="F49" s="24"/>
      <c r="G49" s="34">
        <v>4.0</v>
      </c>
      <c r="H49" s="34">
        <v>4.0</v>
      </c>
      <c r="I49" s="57">
        <v>4.0</v>
      </c>
      <c r="J49" s="34">
        <f t="shared" si="17"/>
        <v>0</v>
      </c>
      <c r="K49" s="37">
        <f t="shared" si="18"/>
        <v>0</v>
      </c>
    </row>
    <row r="50" ht="12.75" customHeight="1">
      <c r="B50" s="23" t="s">
        <v>45</v>
      </c>
      <c r="C50" s="24"/>
      <c r="D50" s="24"/>
      <c r="E50" s="24"/>
      <c r="F50" s="24"/>
      <c r="G50" s="61">
        <f t="shared" ref="G50:I50" si="24">G48-G49</f>
        <v>173.48</v>
      </c>
      <c r="H50" s="61">
        <f t="shared" si="24"/>
        <v>113.48</v>
      </c>
      <c r="I50" s="62">
        <f t="shared" si="24"/>
        <v>117.8</v>
      </c>
      <c r="J50" s="61">
        <f t="shared" si="17"/>
        <v>-4.32</v>
      </c>
      <c r="K50" s="41">
        <f t="shared" si="18"/>
        <v>-0.03667232598</v>
      </c>
    </row>
    <row r="51" ht="12.75" customHeight="1">
      <c r="B51" s="23"/>
      <c r="C51" s="24"/>
      <c r="D51" s="24"/>
      <c r="E51" s="24"/>
      <c r="F51" s="24"/>
      <c r="G51" s="55"/>
      <c r="H51" s="55"/>
      <c r="I51" s="56"/>
      <c r="J51" s="55"/>
      <c r="K51" s="33"/>
    </row>
    <row r="52" ht="12.75" customHeight="1">
      <c r="B52" s="58" t="s">
        <v>46</v>
      </c>
      <c r="C52" s="24"/>
      <c r="D52" s="24"/>
      <c r="E52" s="24"/>
      <c r="F52" s="24"/>
      <c r="G52" s="55">
        <v>57.5</v>
      </c>
      <c r="H52" s="55">
        <v>57.5</v>
      </c>
      <c r="I52" s="56">
        <v>53.0</v>
      </c>
      <c r="J52" s="55">
        <f t="shared" ref="J52:J53" si="26">+H52-I52</f>
        <v>4.5</v>
      </c>
      <c r="K52" s="33">
        <f t="shared" ref="K52:K53" si="27">+H52/I52-1</f>
        <v>0.08490566038</v>
      </c>
    </row>
    <row r="53" ht="12.75" customHeight="1">
      <c r="B53" s="63" t="s">
        <v>47</v>
      </c>
      <c r="C53" s="24"/>
      <c r="D53" s="24"/>
      <c r="E53" s="24"/>
      <c r="F53" s="24"/>
      <c r="G53" s="55">
        <f t="shared" ref="G53:I53" si="25">G50-G52</f>
        <v>115.98</v>
      </c>
      <c r="H53" s="55">
        <f t="shared" si="25"/>
        <v>55.98</v>
      </c>
      <c r="I53" s="56">
        <f t="shared" si="25"/>
        <v>64.8</v>
      </c>
      <c r="J53" s="55">
        <f t="shared" si="26"/>
        <v>-8.82</v>
      </c>
      <c r="K53" s="33">
        <f t="shared" si="27"/>
        <v>-0.1361111111</v>
      </c>
    </row>
    <row r="54" ht="12.75" customHeight="1">
      <c r="B54" s="23"/>
      <c r="C54" s="24"/>
      <c r="D54" s="24"/>
      <c r="E54" s="24"/>
      <c r="F54" s="24"/>
      <c r="G54" s="24"/>
      <c r="H54" s="24"/>
      <c r="I54" s="26"/>
      <c r="J54" s="24"/>
      <c r="K54" s="26"/>
    </row>
    <row r="55" ht="12.75" customHeight="1">
      <c r="B55" s="64" t="s">
        <v>48</v>
      </c>
      <c r="C55" s="43"/>
      <c r="D55" s="43"/>
      <c r="E55" s="43"/>
      <c r="F55" s="43"/>
      <c r="G55" s="43"/>
      <c r="H55" s="43"/>
      <c r="I55" s="65"/>
      <c r="J55" s="43"/>
      <c r="K55" s="65"/>
    </row>
    <row r="56" ht="12.75" customHeight="1">
      <c r="B56" s="9"/>
      <c r="C56" s="9"/>
      <c r="D56" s="9"/>
      <c r="E56" s="9"/>
      <c r="F56" s="9"/>
      <c r="G56" s="9"/>
      <c r="H56" s="9"/>
      <c r="I56" s="9"/>
      <c r="J56" s="47"/>
      <c r="K56" s="48"/>
    </row>
    <row r="57" ht="12.75" customHeight="1">
      <c r="B57" s="66" t="s">
        <v>49</v>
      </c>
      <c r="C57" s="9"/>
      <c r="D57" s="9"/>
      <c r="E57" s="9"/>
      <c r="F57" s="9"/>
      <c r="G57" s="18"/>
      <c r="H57" s="18"/>
      <c r="I57" s="18"/>
      <c r="J57" s="47"/>
      <c r="K57" s="48"/>
    </row>
    <row r="58" ht="12.75" customHeight="1">
      <c r="B58" s="9" t="s">
        <v>50</v>
      </c>
      <c r="C58" s="9"/>
      <c r="D58" s="9"/>
      <c r="E58" s="9"/>
      <c r="F58" s="9"/>
      <c r="G58" s="12">
        <f t="shared" ref="G58:I58" si="28">G50/G7</f>
        <v>3.4696</v>
      </c>
      <c r="H58" s="12">
        <f t="shared" si="28"/>
        <v>2.2696</v>
      </c>
      <c r="I58" s="12">
        <f t="shared" si="28"/>
        <v>2.356</v>
      </c>
      <c r="J58" s="12">
        <f t="shared" ref="J58:J60" si="30">+H58-I58</f>
        <v>-0.0864</v>
      </c>
      <c r="K58" s="17">
        <f t="shared" ref="K58:K60" si="31">+H58/I58-1</f>
        <v>-0.03667232598</v>
      </c>
    </row>
    <row r="59" ht="12.75" customHeight="1">
      <c r="B59" s="9" t="s">
        <v>51</v>
      </c>
      <c r="C59" s="9"/>
      <c r="D59" s="9"/>
      <c r="E59" s="9"/>
      <c r="F59" s="9"/>
      <c r="G59" s="12">
        <f t="shared" ref="G59:I59" si="29">G52/G7</f>
        <v>1.15</v>
      </c>
      <c r="H59" s="12">
        <f t="shared" si="29"/>
        <v>1.15</v>
      </c>
      <c r="I59" s="12">
        <f t="shared" si="29"/>
        <v>1.06</v>
      </c>
      <c r="J59" s="12">
        <f t="shared" si="30"/>
        <v>0.09</v>
      </c>
      <c r="K59" s="17">
        <f t="shared" si="31"/>
        <v>0.08490566038</v>
      </c>
    </row>
    <row r="60" ht="12.75" customHeight="1">
      <c r="B60" s="9" t="s">
        <v>52</v>
      </c>
      <c r="C60" s="9"/>
      <c r="D60" s="9"/>
      <c r="E60" s="9"/>
      <c r="F60" s="9"/>
      <c r="G60" s="12">
        <f t="shared" ref="G60:I60" si="32">G33/G7</f>
        <v>20.2392</v>
      </c>
      <c r="H60" s="12">
        <f t="shared" si="32"/>
        <v>17.9196</v>
      </c>
      <c r="I60" s="12">
        <f t="shared" si="32"/>
        <v>16.8</v>
      </c>
      <c r="J60" s="12">
        <f t="shared" si="30"/>
        <v>1.1196</v>
      </c>
      <c r="K60" s="17">
        <f t="shared" si="31"/>
        <v>0.06664285714</v>
      </c>
    </row>
    <row r="61" ht="12.75" customHeight="1"/>
    <row r="62" ht="12.75" customHeight="1"/>
    <row r="63" ht="12.75" customHeight="1">
      <c r="B63" s="67" t="s">
        <v>53</v>
      </c>
      <c r="C63" s="68"/>
      <c r="D63" s="68"/>
      <c r="E63" s="68"/>
      <c r="F63" s="68"/>
      <c r="G63" s="68"/>
      <c r="H63" s="68"/>
      <c r="I63" s="69"/>
    </row>
    <row r="64" ht="12.75" customHeight="1">
      <c r="B64" s="70" t="s">
        <v>54</v>
      </c>
      <c r="C64" s="71"/>
      <c r="D64" s="71"/>
      <c r="E64" s="71"/>
      <c r="F64" s="71"/>
      <c r="G64" s="71"/>
      <c r="H64" s="71"/>
      <c r="I64" s="71"/>
    </row>
    <row r="65" ht="12.75" customHeight="1">
      <c r="B65" s="70" t="s">
        <v>55</v>
      </c>
      <c r="C65" s="71"/>
      <c r="D65" s="71"/>
      <c r="E65" s="71"/>
      <c r="F65" s="71"/>
      <c r="G65" s="71"/>
      <c r="H65" s="71"/>
      <c r="I65" s="71"/>
    </row>
    <row r="66" ht="12.75" customHeight="1">
      <c r="A66" s="72"/>
      <c r="B66" s="73"/>
      <c r="C66" s="74"/>
      <c r="D66" s="74"/>
      <c r="E66" s="74"/>
      <c r="F66" s="74"/>
      <c r="G66" s="74"/>
      <c r="H66" s="75"/>
      <c r="I66" s="75"/>
      <c r="J66" s="75"/>
      <c r="K66" s="75"/>
      <c r="L66" s="72"/>
      <c r="M66" s="72"/>
      <c r="N66" s="72"/>
      <c r="O66" s="72"/>
      <c r="P66" s="72"/>
      <c r="Q66" s="72"/>
      <c r="R66" s="72"/>
      <c r="S66" s="72"/>
      <c r="T66" s="72"/>
      <c r="U66" s="72"/>
      <c r="V66" s="72"/>
      <c r="W66" s="72"/>
      <c r="X66" s="72"/>
      <c r="Y66" s="72"/>
      <c r="Z66" s="72"/>
    </row>
    <row r="67" ht="12.75" customHeight="1">
      <c r="B67" s="76"/>
      <c r="C67" s="77"/>
      <c r="D67" s="77"/>
      <c r="E67" s="77"/>
      <c r="F67" s="77"/>
      <c r="G67" s="78"/>
      <c r="H67" s="79" t="s">
        <v>3</v>
      </c>
      <c r="I67" s="79" t="s">
        <v>56</v>
      </c>
      <c r="J67" s="79" t="s">
        <v>5</v>
      </c>
      <c r="K67" s="79" t="s">
        <v>6</v>
      </c>
    </row>
    <row r="68" ht="12.0" customHeight="1">
      <c r="A68" s="15"/>
      <c r="B68" s="80" t="s">
        <v>57</v>
      </c>
      <c r="C68" s="20"/>
      <c r="D68" s="20"/>
      <c r="E68" s="20"/>
      <c r="F68" s="20"/>
      <c r="G68" s="81">
        <f t="shared" ref="G68:I68" si="33">+G15+G17+G18-G24-G26</f>
        <v>790</v>
      </c>
      <c r="H68" s="81">
        <f t="shared" si="33"/>
        <v>790</v>
      </c>
      <c r="I68" s="82">
        <f t="shared" si="33"/>
        <v>585</v>
      </c>
      <c r="J68" s="81">
        <f t="shared" ref="J68:J72" si="35">+H68-I68</f>
        <v>205</v>
      </c>
      <c r="K68" s="83">
        <f t="shared" ref="K68:K72" si="36">+H68/I68-1</f>
        <v>0.3504273504</v>
      </c>
      <c r="M68" s="15"/>
    </row>
    <row r="69" ht="12.0" customHeight="1">
      <c r="A69" s="15"/>
      <c r="B69" s="23" t="s">
        <v>58</v>
      </c>
      <c r="C69" s="24"/>
      <c r="D69" s="24"/>
      <c r="E69" s="24"/>
      <c r="F69" s="24"/>
      <c r="G69" s="31" t="str">
        <f>+G68+#REF!</f>
        <v>#REF!</v>
      </c>
      <c r="H69" s="31">
        <f t="shared" ref="H69:I69" si="34">+H15+H17+H18-H24-H26+H20</f>
        <v>1790</v>
      </c>
      <c r="I69" s="32">
        <f t="shared" si="34"/>
        <v>1455</v>
      </c>
      <c r="J69" s="31">
        <f t="shared" si="35"/>
        <v>335</v>
      </c>
      <c r="K69" s="33">
        <f t="shared" si="36"/>
        <v>0.2302405498</v>
      </c>
    </row>
    <row r="70" ht="12.0" customHeight="1">
      <c r="A70" s="15"/>
      <c r="B70" s="63" t="s">
        <v>59</v>
      </c>
      <c r="C70" s="24"/>
      <c r="D70" s="24"/>
      <c r="E70" s="24"/>
      <c r="F70" s="24"/>
      <c r="G70" s="31"/>
      <c r="H70" s="31">
        <f t="shared" ref="H70:I70" si="37">(H17/(H17+H40))*365</f>
        <v>40.55555556</v>
      </c>
      <c r="I70" s="32">
        <f t="shared" si="37"/>
        <v>36.32701422</v>
      </c>
      <c r="J70" s="31">
        <f t="shared" si="35"/>
        <v>4.228541338</v>
      </c>
      <c r="K70" s="33">
        <f t="shared" si="36"/>
        <v>0.1164021164</v>
      </c>
      <c r="M70" s="84"/>
    </row>
    <row r="71" ht="12.0" customHeight="1">
      <c r="A71" s="15"/>
      <c r="B71" s="23" t="s">
        <v>60</v>
      </c>
      <c r="C71" s="24"/>
      <c r="D71" s="24"/>
      <c r="E71" s="24"/>
      <c r="F71" s="24"/>
      <c r="G71" s="31">
        <f t="shared" ref="G71:I71" si="38">+G44</f>
        <v>383.8</v>
      </c>
      <c r="H71" s="31">
        <f t="shared" si="38"/>
        <v>283.8</v>
      </c>
      <c r="I71" s="32">
        <f t="shared" si="38"/>
        <v>263</v>
      </c>
      <c r="J71" s="31">
        <f t="shared" si="35"/>
        <v>20.8</v>
      </c>
      <c r="K71" s="33">
        <f t="shared" si="36"/>
        <v>0.07908745247</v>
      </c>
      <c r="M71" s="84"/>
    </row>
    <row r="72" ht="12.0" customHeight="1">
      <c r="A72" s="85"/>
      <c r="B72" s="63" t="s">
        <v>61</v>
      </c>
      <c r="C72" s="24"/>
      <c r="D72" s="24"/>
      <c r="E72" s="24"/>
      <c r="F72" s="24"/>
      <c r="G72" s="31">
        <f>+G44*(1-N48)</f>
        <v>383.8</v>
      </c>
      <c r="H72" s="31">
        <f t="shared" ref="H72:I72" si="39">+H44*(1-H8)</f>
        <v>170.28</v>
      </c>
      <c r="I72" s="32">
        <f t="shared" si="39"/>
        <v>157.8</v>
      </c>
      <c r="J72" s="31">
        <f t="shared" si="35"/>
        <v>12.48</v>
      </c>
      <c r="K72" s="33">
        <f t="shared" si="36"/>
        <v>0.07908745247</v>
      </c>
      <c r="M72" s="84"/>
    </row>
    <row r="73" ht="12.0" customHeight="1">
      <c r="B73" s="63" t="s">
        <v>62</v>
      </c>
      <c r="C73" s="24"/>
      <c r="D73" s="24"/>
      <c r="E73" s="24"/>
      <c r="F73" s="24"/>
      <c r="G73" s="31"/>
      <c r="H73" s="86">
        <f t="shared" ref="H73:I73" si="40">H45/H29</f>
        <v>0.08270676692</v>
      </c>
      <c r="I73" s="33">
        <f t="shared" si="40"/>
        <v>0.075</v>
      </c>
      <c r="J73" s="86">
        <f t="shared" ref="J73:K73" si="41">H73-I73</f>
        <v>0.007706766917</v>
      </c>
      <c r="K73" s="33">
        <f t="shared" si="41"/>
        <v>0.06729323308</v>
      </c>
      <c r="M73" s="84"/>
    </row>
    <row r="74" ht="12.0" customHeight="1">
      <c r="B74" s="63" t="s">
        <v>63</v>
      </c>
      <c r="C74" s="24"/>
      <c r="D74" s="24"/>
      <c r="E74" s="24"/>
      <c r="F74" s="24"/>
      <c r="G74" s="31"/>
      <c r="H74" s="86">
        <f t="shared" ref="H74:I74" si="42">(H9-(H73*(1-H8)*(H29/H34)))/(H33/H34)</f>
        <v>0.1866088529</v>
      </c>
      <c r="I74" s="33">
        <f t="shared" si="42"/>
        <v>0.1731428571</v>
      </c>
      <c r="J74" s="86">
        <f t="shared" ref="J74:K74" si="43">H74-I74</f>
        <v>0.01346599573</v>
      </c>
      <c r="K74" s="33">
        <f t="shared" si="43"/>
        <v>0.1596768614</v>
      </c>
      <c r="M74" s="84"/>
    </row>
    <row r="75" ht="12.0" customHeight="1">
      <c r="B75" s="63" t="s">
        <v>64</v>
      </c>
      <c r="C75" s="24"/>
      <c r="D75" s="24"/>
      <c r="E75" s="24"/>
      <c r="F75" s="24"/>
      <c r="G75" s="31">
        <f t="shared" ref="G75:I75" si="44">+G9*G68</f>
        <v>88.48</v>
      </c>
      <c r="H75" s="31">
        <f t="shared" si="44"/>
        <v>86.9</v>
      </c>
      <c r="I75" s="32">
        <f t="shared" si="44"/>
        <v>63.18</v>
      </c>
      <c r="J75" s="31">
        <f t="shared" ref="J75:J78" si="46">+H75-I75</f>
        <v>23.72</v>
      </c>
      <c r="K75" s="33">
        <f t="shared" ref="K75:K78" si="47">+H75/I75-1</f>
        <v>0.3754352643</v>
      </c>
      <c r="M75" s="84"/>
    </row>
    <row r="76" ht="12.0" customHeight="1">
      <c r="B76" s="63" t="s">
        <v>65</v>
      </c>
      <c r="C76" s="24"/>
      <c r="D76" s="24"/>
      <c r="E76" s="24"/>
      <c r="F76" s="24"/>
      <c r="G76" s="31" t="str">
        <f t="shared" ref="G76:I76" si="45">+G9*G69</f>
        <v>#REF!</v>
      </c>
      <c r="H76" s="31">
        <f t="shared" si="45"/>
        <v>196.9</v>
      </c>
      <c r="I76" s="32">
        <f t="shared" si="45"/>
        <v>157.14</v>
      </c>
      <c r="J76" s="31">
        <f t="shared" si="46"/>
        <v>39.76</v>
      </c>
      <c r="K76" s="33">
        <f t="shared" si="47"/>
        <v>0.2530227822</v>
      </c>
      <c r="M76" s="84"/>
    </row>
    <row r="77" ht="12.0" customHeight="1">
      <c r="B77" s="63" t="s">
        <v>66</v>
      </c>
      <c r="C77" s="24"/>
      <c r="D77" s="24"/>
      <c r="E77" s="24"/>
      <c r="F77" s="24"/>
      <c r="G77" s="31" t="str">
        <f t="shared" ref="G77:I77" si="48">+G72-G76</f>
        <v>#REF!</v>
      </c>
      <c r="H77" s="31">
        <f t="shared" si="48"/>
        <v>-26.62</v>
      </c>
      <c r="I77" s="32">
        <f t="shared" si="48"/>
        <v>0.66</v>
      </c>
      <c r="J77" s="31">
        <f t="shared" si="46"/>
        <v>-27.28</v>
      </c>
      <c r="K77" s="33">
        <f t="shared" si="47"/>
        <v>-41.33333333</v>
      </c>
      <c r="M77" s="84"/>
    </row>
    <row r="78" ht="12.0" customHeight="1">
      <c r="B78" s="87" t="s">
        <v>67</v>
      </c>
      <c r="C78" s="43"/>
      <c r="D78" s="43"/>
      <c r="E78" s="43"/>
      <c r="F78" s="43"/>
      <c r="G78" s="43" t="str">
        <f t="shared" ref="G78:I78" si="49">(G77)/G69</f>
        <v>#REF!</v>
      </c>
      <c r="H78" s="88">
        <f t="shared" si="49"/>
        <v>-0.01487150838</v>
      </c>
      <c r="I78" s="89">
        <f t="shared" si="49"/>
        <v>0.0004536082474</v>
      </c>
      <c r="J78" s="90">
        <f t="shared" si="46"/>
        <v>-0.01532511663</v>
      </c>
      <c r="K78" s="91">
        <f t="shared" si="47"/>
        <v>-33.7849162</v>
      </c>
      <c r="M78" s="84"/>
    </row>
    <row r="79" ht="12.75" customHeight="1">
      <c r="B79" s="9"/>
    </row>
    <row r="80" ht="12.75" customHeight="1">
      <c r="B80" s="92" t="s">
        <v>68</v>
      </c>
      <c r="C80" s="93"/>
      <c r="D80" s="93"/>
      <c r="E80" s="93"/>
      <c r="F80" s="93"/>
      <c r="G80" s="93"/>
      <c r="H80" s="93"/>
      <c r="I80" s="93"/>
    </row>
    <row r="81" ht="12.75" customHeight="1">
      <c r="B81" s="92" t="s">
        <v>69</v>
      </c>
      <c r="C81" s="93"/>
      <c r="D81" s="93"/>
      <c r="E81" s="93"/>
      <c r="F81" s="93"/>
      <c r="G81" s="93"/>
      <c r="H81" s="93"/>
      <c r="I81" s="93"/>
    </row>
    <row r="82" ht="12.75" customHeight="1">
      <c r="B82" s="9" t="s">
        <v>70</v>
      </c>
    </row>
    <row r="83" ht="12.75" customHeight="1">
      <c r="B83" s="76"/>
      <c r="C83" s="77"/>
      <c r="D83" s="77"/>
      <c r="E83" s="77"/>
      <c r="F83" s="77"/>
      <c r="G83" s="78"/>
      <c r="H83" s="79" t="s">
        <v>3</v>
      </c>
      <c r="I83" s="79" t="s">
        <v>56</v>
      </c>
      <c r="J83" s="79" t="s">
        <v>5</v>
      </c>
      <c r="K83" s="79" t="s">
        <v>6</v>
      </c>
    </row>
    <row r="84" ht="12.75" customHeight="1">
      <c r="B84" s="80" t="s">
        <v>71</v>
      </c>
      <c r="C84" s="20"/>
      <c r="D84" s="20"/>
      <c r="E84" s="20"/>
      <c r="F84" s="20"/>
      <c r="G84" s="81">
        <f t="shared" ref="G84:I84" si="50">G50/(G31+G32)</f>
        <v>0.1714297008</v>
      </c>
      <c r="H84" s="94">
        <f t="shared" si="50"/>
        <v>0.1266546128</v>
      </c>
      <c r="I84" s="83">
        <f t="shared" si="50"/>
        <v>0.1402380952</v>
      </c>
      <c r="J84" s="94">
        <f t="shared" ref="J84:J90" si="52">+H84-I84</f>
        <v>-0.01358348241</v>
      </c>
      <c r="K84" s="83">
        <f t="shared" ref="K84:K90" si="53">H84/I84-1</f>
        <v>-0.09686014623</v>
      </c>
    </row>
    <row r="85" ht="12.75" customHeight="1">
      <c r="B85" s="63" t="s">
        <v>72</v>
      </c>
      <c r="C85" s="24"/>
      <c r="D85" s="24"/>
      <c r="E85" s="24"/>
      <c r="F85" s="24"/>
      <c r="G85" s="31">
        <f t="shared" ref="G85:I85" si="51">+G29/G21</f>
        <v>0.5346733668</v>
      </c>
      <c r="H85" s="86">
        <f t="shared" si="51"/>
        <v>0.5346733668</v>
      </c>
      <c r="I85" s="33">
        <f t="shared" si="51"/>
        <v>0.4761904762</v>
      </c>
      <c r="J85" s="86">
        <f t="shared" si="52"/>
        <v>0.05848289064</v>
      </c>
      <c r="K85" s="33">
        <f t="shared" si="53"/>
        <v>0.1228140704</v>
      </c>
    </row>
    <row r="86" ht="12.75" customHeight="1">
      <c r="B86" s="63" t="s">
        <v>73</v>
      </c>
      <c r="C86" s="24"/>
      <c r="D86" s="24"/>
      <c r="E86" s="24"/>
      <c r="F86" s="24"/>
      <c r="G86" s="31">
        <f t="shared" ref="G86:I86" si="54">G19/G27</f>
        <v>3.193548387</v>
      </c>
      <c r="H86" s="86">
        <f t="shared" si="54"/>
        <v>3.193548387</v>
      </c>
      <c r="I86" s="33">
        <f t="shared" si="54"/>
        <v>3.681818182</v>
      </c>
      <c r="J86" s="86">
        <f t="shared" si="52"/>
        <v>-0.4882697947</v>
      </c>
      <c r="K86" s="33">
        <f t="shared" si="53"/>
        <v>-0.1326164875</v>
      </c>
    </row>
    <row r="87" ht="12.75" customHeight="1">
      <c r="B87" s="63" t="s">
        <v>74</v>
      </c>
      <c r="C87" s="24"/>
      <c r="D87" s="24"/>
      <c r="E87" s="24"/>
      <c r="F87" s="24"/>
      <c r="G87" s="31" t="str">
        <f>+#REF!/#REF!</f>
        <v>#REF!</v>
      </c>
      <c r="H87" s="86">
        <f>H19/H28</f>
        <v>1.312997347</v>
      </c>
      <c r="I87" s="33">
        <f>(I24+I25+I26)/I28</f>
        <v>0.3793103448</v>
      </c>
      <c r="J87" s="86">
        <f t="shared" si="52"/>
        <v>0.9336870027</v>
      </c>
      <c r="K87" s="33">
        <f t="shared" si="53"/>
        <v>2.461538462</v>
      </c>
    </row>
    <row r="88" ht="12.75" customHeight="1">
      <c r="B88" s="63" t="s">
        <v>75</v>
      </c>
      <c r="C88" s="24"/>
      <c r="D88" s="24"/>
      <c r="E88" s="24"/>
      <c r="F88" s="24"/>
      <c r="G88" s="31" t="str">
        <f>+#REF!/G33</f>
        <v>#REF!</v>
      </c>
      <c r="H88" s="86">
        <f t="shared" ref="H88:I88" si="55">(H24+H25+H26)/H28</f>
        <v>0.4111405836</v>
      </c>
      <c r="I88" s="33">
        <f t="shared" si="55"/>
        <v>0.3793103448</v>
      </c>
      <c r="J88" s="86">
        <f t="shared" si="52"/>
        <v>0.03183023873</v>
      </c>
      <c r="K88" s="33">
        <f t="shared" si="53"/>
        <v>0.08391608392</v>
      </c>
    </row>
    <row r="89" ht="12.75" customHeight="1">
      <c r="B89" s="63" t="s">
        <v>76</v>
      </c>
      <c r="C89" s="24"/>
      <c r="D89" s="24"/>
      <c r="E89" s="24"/>
      <c r="F89" s="24"/>
      <c r="G89" s="31">
        <f t="shared" ref="G89:I89" si="56">+G50/G33</f>
        <v>0.1714297008</v>
      </c>
      <c r="H89" s="86">
        <f t="shared" si="56"/>
        <v>0.1266546128</v>
      </c>
      <c r="I89" s="33">
        <f t="shared" si="56"/>
        <v>0.1402380952</v>
      </c>
      <c r="J89" s="86">
        <f t="shared" si="52"/>
        <v>-0.01358348241</v>
      </c>
      <c r="K89" s="33">
        <f t="shared" si="53"/>
        <v>-0.09686014623</v>
      </c>
    </row>
    <row r="90" ht="12.75" customHeight="1">
      <c r="B90" s="63" t="s">
        <v>77</v>
      </c>
      <c r="C90" s="24"/>
      <c r="D90" s="24"/>
      <c r="E90" s="24"/>
      <c r="F90" s="24"/>
      <c r="G90" s="31">
        <f t="shared" ref="G90:I90" si="57">+G46/G45</f>
        <v>3.361363636</v>
      </c>
      <c r="H90" s="86">
        <f t="shared" si="57"/>
        <v>2.225</v>
      </c>
      <c r="I90" s="33">
        <f t="shared" si="57"/>
        <v>3.383333333</v>
      </c>
      <c r="J90" s="86">
        <f t="shared" si="52"/>
        <v>-1.158333333</v>
      </c>
      <c r="K90" s="33">
        <f t="shared" si="53"/>
        <v>-0.342364532</v>
      </c>
    </row>
    <row r="91" ht="12.75" customHeight="1">
      <c r="B91" s="63" t="s">
        <v>78</v>
      </c>
      <c r="C91" s="24"/>
      <c r="D91" s="24"/>
      <c r="E91" s="24"/>
      <c r="F91" s="24"/>
      <c r="G91" s="31"/>
      <c r="H91" s="86"/>
      <c r="I91" s="33"/>
      <c r="J91" s="86"/>
      <c r="K91" s="33"/>
      <c r="N91" s="38"/>
      <c r="P91" s="38"/>
    </row>
    <row r="92" ht="12.75" customHeight="1">
      <c r="B92" s="63" t="s">
        <v>79</v>
      </c>
      <c r="C92" s="24"/>
      <c r="D92" s="24"/>
      <c r="E92" s="24"/>
      <c r="F92" s="24"/>
      <c r="G92" s="31">
        <f t="shared" ref="G92:I92" si="58">+G48/G40</f>
        <v>0.0572516129</v>
      </c>
      <c r="H92" s="86">
        <f t="shared" si="58"/>
        <v>0.03916</v>
      </c>
      <c r="I92" s="33">
        <f t="shared" si="58"/>
        <v>0.04273684211</v>
      </c>
      <c r="J92" s="86">
        <f>+H92-I92</f>
        <v>-0.003576842105</v>
      </c>
      <c r="K92" s="33">
        <f t="shared" ref="K92:K94" si="60">H92/I92-1</f>
        <v>-0.08369458128</v>
      </c>
      <c r="N92" s="48"/>
      <c r="P92" s="48"/>
    </row>
    <row r="93" ht="12.75" customHeight="1">
      <c r="B93" s="63" t="s">
        <v>80</v>
      </c>
      <c r="C93" s="24"/>
      <c r="D93" s="24"/>
      <c r="E93" s="24"/>
      <c r="F93" s="24"/>
      <c r="G93" s="31">
        <f t="shared" ref="G93:I93" si="59">+G40/G21</f>
        <v>1.557788945</v>
      </c>
      <c r="H93" s="86">
        <f t="shared" si="59"/>
        <v>1.507537688</v>
      </c>
      <c r="I93" s="33">
        <f t="shared" si="59"/>
        <v>1.696428571</v>
      </c>
      <c r="J93" s="86">
        <f t="shared" ref="J93:J94" si="62">H93-I93</f>
        <v>-0.188890883</v>
      </c>
      <c r="K93" s="33">
        <f t="shared" si="60"/>
        <v>-0.1113462047</v>
      </c>
      <c r="N93" s="48"/>
      <c r="P93" s="48"/>
    </row>
    <row r="94" ht="12.75" customHeight="1">
      <c r="B94" s="87" t="s">
        <v>81</v>
      </c>
      <c r="C94" s="43"/>
      <c r="D94" s="43"/>
      <c r="E94" s="43"/>
      <c r="F94" s="43"/>
      <c r="G94" s="43">
        <f t="shared" ref="G94:I94" si="61">+G21/G33</f>
        <v>1.966480889</v>
      </c>
      <c r="H94" s="95">
        <f t="shared" si="61"/>
        <v>2.221031719</v>
      </c>
      <c r="I94" s="91">
        <f t="shared" si="61"/>
        <v>2</v>
      </c>
      <c r="J94" s="95">
        <f t="shared" si="62"/>
        <v>0.2210317195</v>
      </c>
      <c r="K94" s="91">
        <f t="shared" si="60"/>
        <v>0.1105158597</v>
      </c>
      <c r="N94" s="48"/>
      <c r="P94" s="48"/>
    </row>
    <row r="95" ht="12.75" customHeight="1"/>
    <row r="96" ht="12.75" customHeight="1"/>
    <row r="97" ht="12.75" customHeight="1"/>
    <row r="98" ht="12.75" customHeight="1"/>
    <row r="99" ht="12.75" customHeight="1"/>
    <row r="100" ht="12.75" customHeight="1"/>
    <row r="101" ht="12.75" customHeight="1"/>
    <row r="102" ht="12.75" customHeight="1"/>
    <row r="103" ht="12.75" customHeight="1"/>
    <row r="104" ht="12.75" customHeight="1"/>
    <row r="105" ht="12.75" customHeight="1"/>
    <row r="106" ht="12.75" customHeight="1"/>
    <row r="107" ht="12.75" customHeight="1"/>
    <row r="108" ht="12.75" customHeight="1"/>
    <row r="109" ht="12.75" customHeight="1">
      <c r="A109" s="38"/>
    </row>
    <row r="110" ht="12.75" customHeight="1">
      <c r="A110" s="96"/>
    </row>
    <row r="111" ht="12.75" customHeight="1">
      <c r="A111" s="96"/>
    </row>
    <row r="112" ht="12.75" customHeight="1">
      <c r="A112" s="96"/>
    </row>
    <row r="113" ht="12.75" customHeight="1">
      <c r="A113" s="96"/>
    </row>
    <row r="114" ht="12.75" customHeight="1">
      <c r="A114" s="96"/>
    </row>
    <row r="115" ht="12.75" customHeight="1"/>
    <row r="116" ht="12.75" customHeight="1">
      <c r="A116" s="97"/>
    </row>
    <row r="117" ht="12.75" customHeight="1">
      <c r="A117" s="96"/>
    </row>
    <row r="118" ht="12.75" customHeight="1">
      <c r="A118" s="96"/>
    </row>
    <row r="119" ht="12.75" customHeight="1">
      <c r="A119" s="96"/>
    </row>
    <row r="120" ht="12.75" customHeight="1">
      <c r="A120" s="96"/>
    </row>
    <row r="121" ht="12.75" customHeight="1">
      <c r="A121" s="96"/>
    </row>
    <row r="122" ht="12.75" customHeight="1"/>
    <row r="123" ht="12.75" customHeight="1"/>
    <row r="124" ht="12.75" customHeight="1"/>
    <row r="125" ht="12.75" customHeight="1"/>
    <row r="126" ht="12.75" customHeight="1"/>
    <row r="127" ht="12.75" customHeight="1"/>
    <row r="128" ht="12.75" customHeight="1"/>
    <row r="129" ht="12.75" customHeight="1"/>
    <row r="130" ht="12.75" customHeight="1"/>
    <row r="131" ht="12.75" customHeight="1"/>
    <row r="132" ht="12.75" customHeight="1"/>
    <row r="133" ht="12.75" customHeight="1"/>
    <row r="134" ht="12.75" customHeight="1"/>
    <row r="135" ht="12.75" customHeight="1"/>
    <row r="136" ht="12.75" customHeight="1"/>
    <row r="137" ht="12.75" customHeight="1"/>
    <row r="138" ht="12.75" customHeight="1"/>
    <row r="139" ht="12.75" customHeight="1"/>
    <row r="140" ht="12.75" customHeight="1"/>
    <row r="141" ht="12.75" customHeight="1"/>
    <row r="142" ht="12.75" customHeight="1"/>
    <row r="143" ht="12.75" customHeight="1"/>
    <row r="144" ht="12.75" customHeight="1"/>
    <row r="145" ht="12.75" customHeight="1"/>
    <row r="146" ht="12.75" customHeight="1"/>
    <row r="147" ht="12.75" customHeight="1"/>
    <row r="148" ht="12.75" customHeight="1"/>
    <row r="149" ht="12.75" customHeight="1"/>
    <row r="150" ht="12.75" customHeight="1"/>
    <row r="151" ht="12.75" customHeight="1"/>
    <row r="152" ht="12.75" customHeight="1"/>
    <row r="153" ht="12.75" customHeight="1"/>
    <row r="154" ht="12.75" customHeight="1"/>
    <row r="155" ht="12.75" customHeight="1"/>
    <row r="156" ht="12.75" customHeight="1"/>
    <row r="157" ht="12.75" customHeight="1"/>
    <row r="158" ht="12.75" customHeight="1"/>
    <row r="159" ht="12.75" customHeight="1"/>
    <row r="160" ht="12.75" customHeight="1"/>
    <row r="161" ht="12.75" customHeight="1"/>
    <row r="162" ht="12.75" customHeight="1"/>
    <row r="163" ht="12.75" customHeight="1"/>
    <row r="164" ht="12.75" customHeight="1"/>
    <row r="165" ht="12.75" customHeight="1"/>
    <row r="166" ht="12.75" customHeight="1"/>
    <row r="167" ht="12.75" customHeight="1"/>
    <row r="168" ht="12.75" customHeight="1"/>
    <row r="169" ht="12.75" customHeight="1"/>
    <row r="170" ht="12.75" customHeight="1"/>
    <row r="171" ht="12.75" customHeight="1"/>
    <row r="172" ht="12.75" customHeight="1"/>
    <row r="173" ht="12.75" customHeight="1"/>
    <row r="174" ht="12.75" customHeight="1"/>
    <row r="175" ht="12.75" customHeight="1"/>
    <row r="176" ht="12.75" customHeight="1"/>
    <row r="177" ht="12.75" customHeight="1"/>
    <row r="178" ht="12.75" customHeight="1"/>
    <row r="179" ht="12.75" customHeight="1"/>
    <row r="180" ht="12.75" customHeight="1"/>
    <row r="181" ht="12.75" customHeight="1"/>
    <row r="182" ht="12.75" customHeight="1"/>
    <row r="183" ht="12.75" customHeight="1"/>
    <row r="184" ht="12.75" customHeight="1"/>
    <row r="185" ht="12.75" customHeight="1"/>
    <row r="186" ht="12.75" customHeight="1"/>
    <row r="187" ht="12.75" customHeight="1"/>
    <row r="188" ht="12.75" customHeight="1"/>
    <row r="189" ht="12.75" customHeight="1"/>
    <row r="190" ht="12.75" customHeight="1"/>
    <row r="191" ht="12.75" customHeight="1"/>
    <row r="192" ht="12.75" customHeight="1"/>
    <row r="193" ht="12.75" customHeight="1"/>
    <row r="194" ht="12.75" customHeight="1"/>
    <row r="195" ht="12.75" customHeight="1"/>
    <row r="196" ht="12.75" customHeight="1"/>
    <row r="197" ht="12.75" customHeight="1"/>
    <row r="198" ht="12.75" customHeight="1"/>
    <row r="199" ht="12.75" customHeight="1"/>
    <row r="200" ht="12.75" customHeight="1"/>
    <row r="201" ht="12.75" customHeight="1"/>
    <row r="202" ht="12.75" customHeight="1"/>
    <row r="203" ht="12.75" customHeight="1"/>
    <row r="204" ht="12.75" customHeight="1"/>
    <row r="205" ht="12.75" customHeight="1"/>
    <row r="206" ht="12.75" customHeight="1"/>
    <row r="207" ht="12.75" customHeight="1"/>
    <row r="208" ht="12.75" customHeight="1"/>
    <row r="209" ht="12.75" customHeight="1"/>
    <row r="210" ht="12.75" customHeight="1"/>
    <row r="211" ht="12.75" customHeight="1"/>
    <row r="212" ht="12.75" customHeight="1"/>
    <row r="213" ht="12.75" customHeight="1"/>
    <row r="214" ht="12.75" customHeight="1"/>
    <row r="215" ht="12.75" customHeight="1"/>
    <row r="216" ht="12.75" customHeight="1"/>
    <row r="217" ht="12.75" customHeight="1"/>
    <row r="218" ht="12.75" customHeight="1"/>
    <row r="219" ht="12.75" customHeight="1"/>
    <row r="220" ht="12.75" customHeight="1"/>
    <row r="221" ht="12.75" customHeight="1"/>
    <row r="222" ht="12.75" customHeight="1"/>
    <row r="223" ht="12.75" customHeight="1"/>
    <row r="224" ht="12.75" customHeight="1"/>
    <row r="225" ht="12.75" customHeight="1"/>
    <row r="226" ht="12.75" customHeight="1"/>
    <row r="227" ht="12.75" customHeight="1"/>
    <row r="228" ht="12.75" customHeight="1"/>
    <row r="229" ht="12.75" customHeight="1"/>
    <row r="230" ht="12.75" customHeight="1"/>
    <row r="231" ht="12.75" customHeight="1"/>
    <row r="232" ht="12.75" customHeight="1"/>
    <row r="233" ht="12.75" customHeight="1"/>
    <row r="234" ht="12.75" customHeight="1"/>
    <row r="235" ht="12.75" customHeight="1"/>
    <row r="236" ht="12.75" customHeight="1"/>
    <row r="237" ht="12.75" customHeight="1"/>
    <row r="238" ht="12.75" customHeight="1"/>
    <row r="239" ht="12.75" customHeight="1"/>
    <row r="240" ht="12.75" customHeight="1"/>
    <row r="241" ht="12.75" customHeight="1"/>
    <row r="242" ht="12.75" customHeight="1"/>
    <row r="243" ht="12.75" customHeight="1"/>
    <row r="244" ht="12.75" customHeight="1"/>
    <row r="245" ht="12.75" customHeight="1"/>
    <row r="246" ht="12.75" customHeight="1"/>
    <row r="247" ht="12.75" customHeight="1"/>
    <row r="248" ht="12.75" customHeight="1"/>
    <row r="249" ht="12.75" customHeight="1"/>
    <row r="250" ht="12.75" customHeight="1"/>
    <row r="251" ht="12.75" customHeight="1"/>
    <row r="252" ht="12.75" customHeight="1"/>
    <row r="253" ht="12.75" customHeight="1"/>
    <row r="254" ht="12.75" customHeight="1"/>
    <row r="255" ht="12.75" customHeight="1"/>
    <row r="256" ht="12.75" customHeight="1"/>
    <row r="257" ht="12.75" customHeight="1"/>
    <row r="258" ht="12.75" customHeight="1"/>
    <row r="259" ht="12.75" customHeight="1"/>
    <row r="260" ht="12.75" customHeight="1"/>
    <row r="261" ht="12.75" customHeight="1"/>
    <row r="262" ht="12.75" customHeight="1"/>
    <row r="263" ht="12.75" customHeight="1"/>
    <row r="264" ht="12.75" customHeight="1"/>
    <row r="265" ht="12.75" customHeight="1"/>
    <row r="266" ht="12.75" customHeight="1"/>
    <row r="267" ht="12.75" customHeight="1"/>
    <row r="268" ht="12.75" customHeight="1"/>
    <row r="269" ht="12.75" customHeight="1"/>
    <row r="270" ht="12.75" customHeight="1"/>
    <row r="271" ht="12.75" customHeight="1"/>
    <row r="272" ht="12.75" customHeight="1"/>
    <row r="273" ht="12.75" customHeight="1"/>
    <row r="274" ht="12.75" customHeight="1"/>
    <row r="275" ht="12.75" customHeight="1"/>
    <row r="276" ht="12.75" customHeight="1"/>
    <row r="277" ht="12.75" customHeight="1"/>
    <row r="278" ht="12.75" customHeight="1"/>
    <row r="279" ht="12.75" customHeight="1"/>
    <row r="280" ht="12.75" customHeight="1"/>
    <row r="281" ht="12.75" customHeight="1"/>
    <row r="282" ht="12.75" customHeight="1"/>
    <row r="283" ht="12.75" customHeight="1"/>
    <row r="284" ht="12.75" customHeight="1"/>
    <row r="285" ht="12.75" customHeight="1"/>
    <row r="286" ht="12.75" customHeight="1"/>
    <row r="287" ht="12.75" customHeight="1"/>
    <row r="288" ht="12.75" customHeight="1"/>
    <row r="289" ht="12.75" customHeight="1"/>
    <row r="290" ht="12.75" customHeight="1"/>
    <row r="291" ht="12.75" customHeight="1"/>
    <row r="292" ht="12.75" customHeight="1"/>
    <row r="293" ht="12.75" customHeight="1"/>
    <row r="294" ht="12.75" customHeight="1"/>
    <row r="295" ht="12.75" customHeight="1"/>
    <row r="296" ht="12.75" customHeight="1"/>
    <row r="297" ht="12.75" customHeight="1"/>
    <row r="298" ht="12.75" customHeight="1"/>
    <row r="299" ht="12.75" customHeight="1"/>
    <row r="300" ht="12.75" customHeight="1"/>
    <row r="301" ht="12.75" customHeight="1"/>
    <row r="302" ht="12.75" customHeight="1"/>
    <row r="303" ht="12.75" customHeight="1"/>
    <row r="304" ht="12.75" customHeight="1"/>
    <row r="305" ht="12.75" customHeight="1"/>
    <row r="306" ht="12.75" customHeight="1"/>
    <row r="307" ht="12.75" customHeight="1"/>
    <row r="308" ht="12.75" customHeight="1"/>
    <row r="309" ht="12.75" customHeight="1"/>
    <row r="310" ht="12.75" customHeight="1"/>
    <row r="311" ht="12.75" customHeight="1"/>
    <row r="312" ht="12.75" customHeight="1"/>
    <row r="313" ht="12.75" customHeight="1"/>
    <row r="314" ht="12.75" customHeight="1"/>
    <row r="315" ht="12.75" customHeight="1"/>
    <row r="316" ht="12.75" customHeight="1"/>
    <row r="317" ht="12.75" customHeight="1"/>
    <row r="318" ht="12.75" customHeight="1"/>
    <row r="319" ht="12.75" customHeight="1"/>
    <row r="320" ht="12.75" customHeight="1"/>
    <row r="321" ht="12.75" customHeight="1"/>
    <row r="322" ht="12.75" customHeight="1"/>
    <row r="323" ht="12.75" customHeight="1"/>
    <row r="324" ht="12.75" customHeight="1"/>
    <row r="325" ht="12.75" customHeight="1"/>
    <row r="326" ht="12.75" customHeight="1"/>
    <row r="327" ht="12.75" customHeight="1"/>
    <row r="328" ht="12.75" customHeight="1"/>
    <row r="329" ht="12.75" customHeight="1"/>
    <row r="330" ht="12.75" customHeight="1"/>
    <row r="331" ht="12.75" customHeight="1"/>
    <row r="332" ht="12.75" customHeight="1"/>
    <row r="333" ht="12.75" customHeight="1"/>
    <row r="334" ht="12.75" customHeight="1"/>
    <row r="335" ht="12.75" customHeight="1"/>
    <row r="336" ht="12.75" customHeight="1"/>
    <row r="337" ht="12.75" customHeight="1"/>
    <row r="338" ht="12.75" customHeight="1"/>
    <row r="339" ht="12.75" customHeight="1"/>
    <row r="340" ht="12.75" customHeight="1"/>
    <row r="341" ht="12.75" customHeight="1"/>
    <row r="342" ht="12.75" customHeight="1"/>
    <row r="343" ht="12.75" customHeight="1"/>
    <row r="344" ht="12.75" customHeight="1"/>
    <row r="345" ht="12.75" customHeight="1"/>
    <row r="346" ht="12.75" customHeight="1"/>
    <row r="347" ht="12.75" customHeight="1"/>
    <row r="348" ht="12.75" customHeight="1"/>
    <row r="349" ht="12.75" customHeight="1"/>
    <row r="350" ht="12.75" customHeight="1"/>
    <row r="351" ht="12.75" customHeight="1"/>
    <row r="352" ht="12.75" customHeight="1"/>
    <row r="353" ht="12.75" customHeight="1"/>
    <row r="354" ht="12.75" customHeight="1"/>
    <row r="355" ht="12.75" customHeight="1"/>
    <row r="356" ht="12.75" customHeight="1"/>
    <row r="357" ht="12.75" customHeight="1"/>
    <row r="358" ht="12.75" customHeight="1"/>
    <row r="359" ht="12.75" customHeight="1"/>
    <row r="360" ht="12.75" customHeight="1"/>
    <row r="361" ht="12.75" customHeight="1"/>
    <row r="362" ht="12.75" customHeight="1"/>
    <row r="363" ht="12.75" customHeight="1"/>
    <row r="364" ht="12.75" customHeight="1"/>
    <row r="365" ht="12.75" customHeight="1"/>
    <row r="366" ht="12.75" customHeight="1"/>
    <row r="367" ht="12.75" customHeight="1"/>
    <row r="368" ht="12.75" customHeight="1"/>
    <row r="369" ht="12.75" customHeight="1"/>
    <row r="370" ht="12.75" customHeight="1"/>
    <row r="371" ht="12.75" customHeight="1"/>
    <row r="372" ht="12.75" customHeight="1"/>
    <row r="373" ht="12.75" customHeight="1"/>
    <row r="374" ht="12.75" customHeight="1"/>
    <row r="375" ht="12.75" customHeight="1"/>
    <row r="376" ht="12.75" customHeight="1"/>
    <row r="377" ht="12.75" customHeight="1"/>
    <row r="378" ht="12.75" customHeight="1"/>
    <row r="379" ht="12.75" customHeight="1"/>
    <row r="380" ht="12.75" customHeight="1"/>
    <row r="381" ht="12.75" customHeight="1"/>
    <row r="382" ht="12.75" customHeight="1"/>
    <row r="383" ht="12.75" customHeight="1"/>
    <row r="384" ht="12.75" customHeight="1"/>
    <row r="385" ht="12.75" customHeight="1"/>
    <row r="386" ht="12.75" customHeight="1"/>
    <row r="387" ht="12.75" customHeight="1"/>
    <row r="388" ht="12.75" customHeight="1"/>
    <row r="389" ht="12.75" customHeight="1"/>
    <row r="390" ht="12.75" customHeight="1"/>
    <row r="391" ht="12.75" customHeight="1"/>
    <row r="392" ht="12.75" customHeight="1"/>
    <row r="393" ht="12.75" customHeight="1"/>
    <row r="394" ht="12.75" customHeight="1"/>
    <row r="395" ht="12.75" customHeight="1"/>
    <row r="396" ht="12.75" customHeight="1"/>
    <row r="397" ht="12.75" customHeight="1"/>
    <row r="398" ht="12.75" customHeight="1"/>
    <row r="399" ht="12.75" customHeight="1"/>
    <row r="400" ht="12.75" customHeight="1"/>
    <row r="401" ht="12.75" customHeight="1"/>
    <row r="402" ht="12.75" customHeight="1"/>
    <row r="403" ht="12.75" customHeight="1"/>
    <row r="404" ht="12.75" customHeight="1"/>
    <row r="405" ht="12.75" customHeight="1"/>
    <row r="406" ht="12.75" customHeight="1"/>
    <row r="407" ht="12.75" customHeight="1"/>
    <row r="408" ht="12.75" customHeight="1"/>
    <row r="409" ht="12.75" customHeight="1"/>
    <row r="410" ht="12.75" customHeight="1"/>
    <row r="411" ht="12.75" customHeight="1"/>
    <row r="412" ht="12.75" customHeight="1"/>
    <row r="413" ht="12.75" customHeight="1"/>
    <row r="414" ht="12.75" customHeight="1"/>
    <row r="415" ht="12.75" customHeight="1"/>
    <row r="416" ht="12.75" customHeight="1"/>
    <row r="417" ht="12.75" customHeight="1"/>
    <row r="418" ht="12.75" customHeight="1"/>
    <row r="419" ht="12.75" customHeight="1"/>
    <row r="420" ht="12.75" customHeight="1"/>
    <row r="421" ht="12.75" customHeight="1"/>
    <row r="422" ht="12.75" customHeight="1"/>
    <row r="423" ht="12.75" customHeight="1"/>
    <row r="424" ht="12.75" customHeight="1"/>
    <row r="425" ht="12.75" customHeight="1"/>
    <row r="426" ht="12.75" customHeight="1"/>
    <row r="427" ht="12.75" customHeight="1"/>
    <row r="428" ht="12.75" customHeight="1"/>
    <row r="429" ht="12.75" customHeight="1"/>
    <row r="430" ht="12.75" customHeight="1"/>
    <row r="431" ht="12.75" customHeight="1"/>
    <row r="432" ht="12.75" customHeight="1"/>
    <row r="433" ht="12.75" customHeight="1"/>
    <row r="434" ht="12.75" customHeight="1"/>
    <row r="435" ht="12.75" customHeight="1"/>
    <row r="436" ht="12.75" customHeight="1"/>
    <row r="437" ht="12.75" customHeight="1"/>
    <row r="438" ht="12.75" customHeight="1"/>
    <row r="439" ht="12.75" customHeight="1"/>
    <row r="440" ht="12.75" customHeight="1"/>
    <row r="441" ht="12.75" customHeight="1"/>
    <row r="442" ht="12.75" customHeight="1"/>
    <row r="443" ht="12.75" customHeight="1"/>
    <row r="444" ht="12.75" customHeight="1"/>
    <row r="445" ht="12.75" customHeight="1"/>
    <row r="446" ht="12.75" customHeight="1"/>
    <row r="447" ht="12.75" customHeight="1"/>
    <row r="448" ht="12.75" customHeight="1"/>
    <row r="449" ht="12.75" customHeight="1"/>
    <row r="450" ht="12.75" customHeight="1"/>
    <row r="451" ht="12.75" customHeight="1"/>
    <row r="452" ht="12.75" customHeight="1"/>
    <row r="453" ht="12.75" customHeight="1"/>
    <row r="454" ht="12.75" customHeight="1"/>
    <row r="455" ht="12.75" customHeight="1"/>
    <row r="456" ht="12.75" customHeight="1"/>
    <row r="457" ht="12.75" customHeight="1"/>
    <row r="458" ht="12.75" customHeight="1"/>
    <row r="459" ht="12.75" customHeight="1"/>
    <row r="460" ht="12.75" customHeight="1"/>
    <row r="461" ht="12.75" customHeight="1"/>
    <row r="462" ht="12.75" customHeight="1"/>
    <row r="463" ht="12.75" customHeight="1"/>
    <row r="464" ht="12.75" customHeight="1"/>
    <row r="465" ht="12.75" customHeight="1"/>
    <row r="466" ht="12.75" customHeight="1"/>
    <row r="467" ht="12.75" customHeight="1"/>
    <row r="468" ht="12.75" customHeight="1"/>
    <row r="469" ht="12.75" customHeight="1"/>
    <row r="470" ht="12.75" customHeight="1"/>
    <row r="471" ht="12.75" customHeight="1"/>
    <row r="472" ht="12.75" customHeight="1"/>
    <row r="473" ht="12.75" customHeight="1"/>
    <row r="474" ht="12.75" customHeight="1"/>
    <row r="475" ht="12.75" customHeight="1"/>
    <row r="476" ht="12.75" customHeight="1"/>
    <row r="477" ht="12.75" customHeight="1"/>
    <row r="478" ht="12.75" customHeight="1"/>
    <row r="479" ht="12.75" customHeight="1"/>
    <row r="480" ht="12.75" customHeight="1"/>
    <row r="481" ht="12.75" customHeight="1"/>
    <row r="482" ht="12.75" customHeight="1"/>
    <row r="483" ht="12.75" customHeight="1"/>
    <row r="484" ht="12.75" customHeight="1"/>
    <row r="485" ht="12.75" customHeight="1"/>
    <row r="486" ht="12.75" customHeight="1"/>
    <row r="487" ht="12.75" customHeight="1"/>
    <row r="488" ht="12.75" customHeight="1"/>
    <row r="489" ht="12.75" customHeight="1"/>
    <row r="490" ht="12.75" customHeight="1"/>
    <row r="491" ht="12.75" customHeight="1"/>
    <row r="492" ht="12.75" customHeight="1"/>
    <row r="493" ht="12.75" customHeight="1"/>
    <row r="494" ht="12.75" customHeight="1"/>
    <row r="495" ht="12.75" customHeight="1"/>
    <row r="496" ht="12.75" customHeight="1"/>
    <row r="497" ht="12.75" customHeight="1"/>
    <row r="498" ht="12.75" customHeight="1"/>
    <row r="499" ht="12.75" customHeight="1"/>
    <row r="500" ht="12.75" customHeight="1"/>
    <row r="501" ht="12.75" customHeight="1"/>
    <row r="502" ht="12.75" customHeight="1"/>
    <row r="503" ht="12.75" customHeight="1"/>
    <row r="504" ht="12.75" customHeight="1"/>
    <row r="505" ht="12.75" customHeight="1"/>
    <row r="506" ht="12.75" customHeight="1"/>
    <row r="507" ht="12.75" customHeight="1"/>
    <row r="508" ht="12.75" customHeight="1"/>
    <row r="509" ht="12.75" customHeight="1"/>
    <row r="510" ht="12.75" customHeight="1"/>
    <row r="511" ht="12.75" customHeight="1"/>
    <row r="512" ht="12.75" customHeight="1"/>
    <row r="513" ht="12.75" customHeight="1"/>
    <row r="514" ht="12.75" customHeight="1"/>
    <row r="515" ht="12.75" customHeight="1"/>
    <row r="516" ht="12.75" customHeight="1"/>
    <row r="517" ht="12.75" customHeight="1"/>
    <row r="518" ht="12.75" customHeight="1"/>
    <row r="519" ht="12.75" customHeight="1"/>
    <row r="520" ht="12.75" customHeight="1"/>
    <row r="521" ht="12.75" customHeight="1"/>
    <row r="522" ht="12.75" customHeight="1"/>
    <row r="523" ht="12.75" customHeight="1"/>
    <row r="524" ht="12.75" customHeight="1"/>
    <row r="525" ht="12.75" customHeight="1"/>
    <row r="526" ht="12.75" customHeight="1"/>
    <row r="527" ht="12.75" customHeight="1"/>
    <row r="528" ht="12.75" customHeight="1"/>
    <row r="529" ht="12.75" customHeight="1"/>
    <row r="530" ht="12.75" customHeight="1"/>
    <row r="531" ht="12.75" customHeight="1"/>
    <row r="532" ht="12.75" customHeight="1"/>
    <row r="533" ht="12.75" customHeight="1"/>
    <row r="534" ht="12.75" customHeight="1"/>
    <row r="535" ht="12.75" customHeight="1"/>
    <row r="536" ht="12.75" customHeight="1"/>
    <row r="537" ht="12.75" customHeight="1"/>
    <row r="538" ht="12.75" customHeight="1"/>
    <row r="539" ht="12.75" customHeight="1"/>
    <row r="540" ht="12.75" customHeight="1"/>
    <row r="541" ht="12.75" customHeight="1"/>
    <row r="542" ht="12.75" customHeight="1"/>
    <row r="543" ht="12.75" customHeight="1"/>
    <row r="544" ht="12.75" customHeight="1"/>
    <row r="545" ht="12.75" customHeight="1"/>
    <row r="546" ht="12.75" customHeight="1"/>
    <row r="547" ht="12.75" customHeight="1"/>
    <row r="548" ht="12.75" customHeight="1"/>
    <row r="549" ht="12.75" customHeight="1"/>
    <row r="550" ht="12.75" customHeight="1"/>
    <row r="551" ht="12.75" customHeight="1"/>
    <row r="552" ht="12.75" customHeight="1"/>
    <row r="553" ht="12.75" customHeight="1"/>
    <row r="554" ht="12.75" customHeight="1"/>
    <row r="555" ht="12.75" customHeight="1"/>
    <row r="556" ht="12.75" customHeight="1"/>
    <row r="557" ht="12.75" customHeight="1"/>
    <row r="558" ht="12.75" customHeight="1"/>
    <row r="559" ht="12.75" customHeight="1"/>
    <row r="560" ht="12.75" customHeight="1"/>
    <row r="561" ht="12.75" customHeight="1"/>
    <row r="562" ht="12.75" customHeight="1"/>
    <row r="563" ht="12.75" customHeight="1"/>
    <row r="564" ht="12.75" customHeight="1"/>
    <row r="565" ht="12.75" customHeight="1"/>
    <row r="566" ht="12.75" customHeight="1"/>
    <row r="567" ht="12.75" customHeight="1"/>
    <row r="568" ht="12.75" customHeight="1"/>
    <row r="569" ht="12.75" customHeight="1"/>
    <row r="570" ht="12.75" customHeight="1"/>
    <row r="571" ht="12.75" customHeight="1"/>
    <row r="572" ht="12.75" customHeight="1"/>
    <row r="573" ht="12.75" customHeight="1"/>
    <row r="574" ht="12.75" customHeight="1"/>
    <row r="575" ht="12.75" customHeight="1"/>
    <row r="576" ht="12.75" customHeight="1"/>
    <row r="577" ht="12.75" customHeight="1"/>
    <row r="578" ht="12.75" customHeight="1"/>
    <row r="579" ht="12.75" customHeight="1"/>
    <row r="580" ht="12.75" customHeight="1"/>
    <row r="581" ht="12.75" customHeight="1"/>
    <row r="582" ht="12.75" customHeight="1"/>
    <row r="583" ht="12.75" customHeight="1"/>
    <row r="584" ht="12.75" customHeight="1"/>
    <row r="585" ht="12.75" customHeight="1"/>
    <row r="586" ht="12.75" customHeight="1"/>
    <row r="587" ht="12.75" customHeight="1"/>
    <row r="588" ht="12.75" customHeight="1"/>
    <row r="589" ht="12.75" customHeight="1"/>
    <row r="590" ht="12.75" customHeight="1"/>
    <row r="591" ht="12.75" customHeight="1"/>
    <row r="592" ht="12.75" customHeight="1"/>
    <row r="593" ht="12.75" customHeight="1"/>
    <row r="594" ht="12.75" customHeight="1"/>
    <row r="595" ht="12.75" customHeight="1"/>
    <row r="596" ht="12.75" customHeight="1"/>
    <row r="597" ht="12.75" customHeight="1"/>
    <row r="598" ht="12.75" customHeight="1"/>
    <row r="599" ht="12.75" customHeight="1"/>
    <row r="600" ht="12.75" customHeight="1"/>
    <row r="601" ht="12.75" customHeight="1"/>
    <row r="602" ht="12.75" customHeight="1"/>
    <row r="603" ht="12.75" customHeight="1"/>
    <row r="604" ht="12.75" customHeight="1"/>
    <row r="605" ht="12.75" customHeight="1"/>
    <row r="606" ht="12.75" customHeight="1"/>
    <row r="607" ht="12.75" customHeight="1"/>
    <row r="608" ht="12.75" customHeight="1"/>
    <row r="609" ht="12.75" customHeight="1"/>
    <row r="610" ht="12.75" customHeight="1"/>
    <row r="611" ht="12.75" customHeight="1"/>
    <row r="612" ht="12.75" customHeight="1"/>
    <row r="613" ht="12.75" customHeight="1"/>
    <row r="614" ht="12.75" customHeight="1"/>
    <row r="615" ht="12.75" customHeight="1"/>
    <row r="616" ht="12.75" customHeight="1"/>
    <row r="617" ht="12.75" customHeight="1"/>
    <row r="618" ht="12.75" customHeight="1"/>
    <row r="619" ht="12.75" customHeight="1"/>
    <row r="620" ht="12.75" customHeight="1"/>
    <row r="621" ht="12.75" customHeight="1"/>
    <row r="622" ht="12.75" customHeight="1"/>
    <row r="623" ht="12.75" customHeight="1"/>
    <row r="624" ht="12.75" customHeight="1"/>
    <row r="625" ht="12.75" customHeight="1"/>
    <row r="626" ht="12.75" customHeight="1"/>
    <row r="627" ht="12.75" customHeight="1"/>
    <row r="628" ht="12.75" customHeight="1"/>
    <row r="629" ht="12.75" customHeight="1"/>
    <row r="630" ht="12.75" customHeight="1"/>
    <row r="631" ht="12.75" customHeight="1"/>
    <row r="632" ht="12.75" customHeight="1"/>
    <row r="633" ht="12.75" customHeight="1"/>
    <row r="634" ht="12.75" customHeight="1"/>
    <row r="635" ht="12.75" customHeight="1"/>
    <row r="636" ht="12.75" customHeight="1"/>
    <row r="637" ht="12.75" customHeight="1"/>
    <row r="638" ht="12.75" customHeight="1"/>
    <row r="639" ht="12.75" customHeight="1"/>
    <row r="640" ht="12.75" customHeight="1"/>
    <row r="641" ht="12.75" customHeight="1"/>
    <row r="642" ht="12.75" customHeight="1"/>
    <row r="643" ht="12.75" customHeight="1"/>
    <row r="644" ht="12.75" customHeight="1"/>
    <row r="645" ht="12.75" customHeight="1"/>
    <row r="646" ht="12.75" customHeight="1"/>
    <row r="647" ht="12.75" customHeight="1"/>
    <row r="648" ht="12.75" customHeight="1"/>
    <row r="649" ht="12.75" customHeight="1"/>
    <row r="650" ht="12.75" customHeight="1"/>
    <row r="651" ht="12.75" customHeight="1"/>
    <row r="652" ht="12.75" customHeight="1"/>
    <row r="653" ht="12.75" customHeight="1"/>
    <row r="654" ht="12.75" customHeight="1"/>
    <row r="655" ht="12.75" customHeight="1"/>
    <row r="656" ht="12.75" customHeight="1"/>
    <row r="657" ht="12.75" customHeight="1"/>
    <row r="658" ht="12.75" customHeight="1"/>
    <row r="659" ht="12.75" customHeight="1"/>
    <row r="660" ht="12.75" customHeight="1"/>
    <row r="661" ht="12.75" customHeight="1"/>
    <row r="662" ht="12.75" customHeight="1"/>
    <row r="663" ht="12.75" customHeight="1"/>
    <row r="664" ht="12.75" customHeight="1"/>
    <row r="665" ht="12.75" customHeight="1"/>
    <row r="666" ht="12.75" customHeight="1"/>
    <row r="667" ht="12.75" customHeight="1"/>
    <row r="668" ht="12.75" customHeight="1"/>
    <row r="669" ht="12.75" customHeight="1"/>
    <row r="670" ht="12.75" customHeight="1"/>
    <row r="671" ht="12.75" customHeight="1"/>
    <row r="672" ht="12.75" customHeight="1"/>
    <row r="673" ht="12.75" customHeight="1"/>
    <row r="674" ht="12.75" customHeight="1"/>
    <row r="675" ht="12.75" customHeight="1"/>
    <row r="676" ht="12.75" customHeight="1"/>
    <row r="677" ht="12.75" customHeight="1"/>
    <row r="678" ht="12.75" customHeight="1"/>
    <row r="679" ht="12.75" customHeight="1"/>
    <row r="680" ht="12.75" customHeight="1"/>
    <row r="681" ht="12.75" customHeight="1"/>
    <row r="682" ht="12.75" customHeight="1"/>
    <row r="683" ht="12.75" customHeight="1"/>
    <row r="684" ht="12.75" customHeight="1"/>
    <row r="685" ht="12.75" customHeight="1"/>
    <row r="686" ht="12.75" customHeight="1"/>
    <row r="687" ht="12.75" customHeight="1"/>
    <row r="688" ht="12.75" customHeight="1"/>
    <row r="689" ht="12.75" customHeight="1"/>
    <row r="690" ht="12.75" customHeight="1"/>
    <row r="691" ht="12.75" customHeight="1"/>
    <row r="692" ht="12.75" customHeight="1"/>
    <row r="693" ht="12.75" customHeight="1"/>
    <row r="694" ht="12.75" customHeight="1"/>
    <row r="695" ht="12.75" customHeight="1"/>
    <row r="696" ht="12.75" customHeight="1"/>
    <row r="697" ht="12.75" customHeight="1"/>
    <row r="698" ht="12.75" customHeight="1"/>
    <row r="699" ht="12.75" customHeight="1"/>
    <row r="700" ht="12.75" customHeight="1"/>
    <row r="701" ht="12.75" customHeight="1"/>
    <row r="702" ht="12.75" customHeight="1"/>
    <row r="703" ht="12.75" customHeight="1"/>
    <row r="704" ht="12.75" customHeight="1"/>
    <row r="705" ht="12.75" customHeight="1"/>
    <row r="706" ht="12.75" customHeight="1"/>
    <row r="707" ht="12.75" customHeight="1"/>
    <row r="708" ht="12.75" customHeight="1"/>
    <row r="709" ht="12.75" customHeight="1"/>
    <row r="710" ht="12.75" customHeight="1"/>
    <row r="711" ht="12.75" customHeight="1"/>
    <row r="712" ht="12.75" customHeight="1"/>
    <row r="713" ht="12.75" customHeight="1"/>
    <row r="714" ht="12.75" customHeight="1"/>
    <row r="715" ht="12.75" customHeight="1"/>
    <row r="716" ht="12.75" customHeight="1"/>
    <row r="717" ht="12.75" customHeight="1"/>
    <row r="718" ht="12.75" customHeight="1"/>
    <row r="719" ht="12.75" customHeight="1"/>
    <row r="720" ht="12.75" customHeight="1"/>
    <row r="721" ht="12.75" customHeight="1"/>
    <row r="722" ht="12.75" customHeight="1"/>
    <row r="723" ht="12.75" customHeight="1"/>
    <row r="724" ht="12.75" customHeight="1"/>
    <row r="725" ht="12.75" customHeight="1"/>
    <row r="726" ht="12.75" customHeight="1"/>
    <row r="727" ht="12.75" customHeight="1"/>
    <row r="728" ht="12.75" customHeight="1"/>
    <row r="729" ht="12.75" customHeight="1"/>
    <row r="730" ht="12.75" customHeight="1"/>
    <row r="731" ht="12.75" customHeight="1"/>
    <row r="732" ht="12.75" customHeight="1"/>
    <row r="733" ht="12.75" customHeight="1"/>
    <row r="734" ht="12.75" customHeight="1"/>
    <row r="735" ht="12.75" customHeight="1"/>
    <row r="736" ht="12.75" customHeight="1"/>
    <row r="737" ht="12.75" customHeight="1"/>
    <row r="738" ht="12.75" customHeight="1"/>
    <row r="739" ht="12.75" customHeight="1"/>
    <row r="740" ht="12.75" customHeight="1"/>
    <row r="741" ht="12.75" customHeight="1"/>
    <row r="742" ht="12.75" customHeight="1"/>
    <row r="743" ht="12.75" customHeight="1"/>
    <row r="744" ht="12.75" customHeight="1"/>
    <row r="745" ht="12.75" customHeight="1"/>
    <row r="746" ht="12.75" customHeight="1"/>
    <row r="747" ht="12.75" customHeight="1"/>
    <row r="748" ht="12.75" customHeight="1"/>
    <row r="749" ht="12.75" customHeight="1"/>
    <row r="750" ht="12.75" customHeight="1"/>
    <row r="751" ht="12.75" customHeight="1"/>
    <row r="752" ht="12.75" customHeight="1"/>
    <row r="753" ht="12.75" customHeight="1"/>
    <row r="754" ht="12.75" customHeight="1"/>
    <row r="755" ht="12.75" customHeight="1"/>
    <row r="756" ht="12.75" customHeight="1"/>
    <row r="757" ht="12.75" customHeight="1"/>
    <row r="758" ht="12.75" customHeight="1"/>
    <row r="759" ht="12.75" customHeight="1"/>
    <row r="760" ht="12.75" customHeight="1"/>
    <row r="761" ht="12.75" customHeight="1"/>
    <row r="762" ht="12.75" customHeight="1"/>
    <row r="763" ht="12.75" customHeight="1"/>
    <row r="764" ht="12.75" customHeight="1"/>
    <row r="765" ht="12.75" customHeight="1"/>
    <row r="766" ht="12.75" customHeight="1"/>
    <row r="767" ht="12.75" customHeight="1"/>
    <row r="768" ht="12.75" customHeight="1"/>
    <row r="769" ht="12.75" customHeight="1"/>
    <row r="770" ht="12.75" customHeight="1"/>
    <row r="771" ht="12.75" customHeight="1"/>
    <row r="772" ht="12.75" customHeight="1"/>
    <row r="773" ht="12.75" customHeight="1"/>
    <row r="774" ht="12.75" customHeight="1"/>
    <row r="775" ht="12.75" customHeight="1"/>
    <row r="776" ht="12.75" customHeight="1"/>
    <row r="777" ht="12.75" customHeight="1"/>
    <row r="778" ht="12.75" customHeight="1"/>
    <row r="779" ht="12.75" customHeight="1"/>
    <row r="780" ht="12.75" customHeight="1"/>
    <row r="781" ht="12.75" customHeight="1"/>
    <row r="782" ht="12.75" customHeight="1"/>
    <row r="783" ht="12.75" customHeight="1"/>
    <row r="784" ht="12.75" customHeight="1"/>
    <row r="785" ht="12.75" customHeight="1"/>
    <row r="786" ht="12.75" customHeight="1"/>
    <row r="787" ht="12.75" customHeight="1"/>
    <row r="788" ht="12.75" customHeight="1"/>
    <row r="789" ht="12.75" customHeight="1"/>
    <row r="790" ht="12.75" customHeight="1"/>
    <row r="791" ht="12.75" customHeight="1"/>
    <row r="792" ht="12.75" customHeight="1"/>
    <row r="793" ht="12.75" customHeight="1"/>
    <row r="794" ht="12.75" customHeight="1"/>
    <row r="795" ht="12.75" customHeight="1"/>
    <row r="796" ht="12.75" customHeight="1"/>
    <row r="797" ht="12.75" customHeight="1"/>
    <row r="798" ht="12.75" customHeight="1"/>
    <row r="799" ht="12.75" customHeight="1"/>
    <row r="800" ht="12.75" customHeight="1"/>
    <row r="801" ht="12.75" customHeight="1"/>
    <row r="802" ht="12.75" customHeight="1"/>
    <row r="803" ht="12.75" customHeight="1"/>
    <row r="804" ht="12.75" customHeight="1"/>
    <row r="805" ht="12.75" customHeight="1"/>
    <row r="806" ht="12.75" customHeight="1"/>
    <row r="807" ht="12.75" customHeight="1"/>
    <row r="808" ht="12.75" customHeight="1"/>
    <row r="809" ht="12.75" customHeight="1"/>
    <row r="810" ht="12.75" customHeight="1"/>
    <row r="811" ht="12.75" customHeight="1"/>
    <row r="812" ht="12.75" customHeight="1"/>
    <row r="813" ht="12.75" customHeight="1"/>
    <row r="814" ht="12.75" customHeight="1"/>
    <row r="815" ht="12.75" customHeight="1"/>
    <row r="816" ht="12.75" customHeight="1"/>
    <row r="817" ht="12.75" customHeight="1"/>
    <row r="818" ht="12.75" customHeight="1"/>
    <row r="819" ht="12.75" customHeight="1"/>
    <row r="820" ht="12.75" customHeight="1"/>
    <row r="821" ht="12.75" customHeight="1"/>
    <row r="822" ht="12.75" customHeight="1"/>
    <row r="823" ht="12.75" customHeight="1"/>
    <row r="824" ht="12.75" customHeight="1"/>
    <row r="825" ht="12.75" customHeight="1"/>
    <row r="826" ht="12.75" customHeight="1"/>
    <row r="827" ht="12.75" customHeight="1"/>
    <row r="828" ht="12.75" customHeight="1"/>
    <row r="829" ht="12.75" customHeight="1"/>
    <row r="830" ht="12.75" customHeight="1"/>
    <row r="831" ht="12.75" customHeight="1"/>
    <row r="832" ht="12.75" customHeight="1"/>
    <row r="833" ht="12.75" customHeight="1"/>
    <row r="834" ht="12.75" customHeight="1"/>
    <row r="835" ht="12.75" customHeight="1"/>
    <row r="836" ht="12.75" customHeight="1"/>
    <row r="837" ht="12.75" customHeight="1"/>
    <row r="838" ht="12.75" customHeight="1"/>
    <row r="839" ht="12.75" customHeight="1"/>
    <row r="840" ht="12.75" customHeight="1"/>
    <row r="841" ht="12.75" customHeight="1"/>
    <row r="842" ht="12.75" customHeight="1"/>
    <row r="843" ht="12.75" customHeight="1"/>
    <row r="844" ht="12.75" customHeight="1"/>
    <row r="845" ht="12.75" customHeight="1"/>
    <row r="846" ht="12.75" customHeight="1"/>
    <row r="847" ht="12.75" customHeight="1"/>
    <row r="848" ht="12.75" customHeight="1"/>
    <row r="849" ht="12.75" customHeight="1"/>
    <row r="850" ht="12.75" customHeight="1"/>
    <row r="851" ht="12.75" customHeight="1"/>
    <row r="852" ht="12.75" customHeight="1"/>
    <row r="853" ht="12.75" customHeight="1"/>
    <row r="854" ht="12.75" customHeight="1"/>
    <row r="855" ht="12.75" customHeight="1"/>
    <row r="856" ht="12.75" customHeight="1"/>
    <row r="857" ht="12.75" customHeight="1"/>
    <row r="858" ht="12.75" customHeight="1"/>
    <row r="859" ht="12.75" customHeight="1"/>
    <row r="860" ht="12.75" customHeight="1"/>
    <row r="861" ht="12.75" customHeight="1"/>
    <row r="862" ht="12.75" customHeight="1"/>
    <row r="863" ht="12.75" customHeight="1"/>
    <row r="864" ht="12.75" customHeight="1"/>
    <row r="865" ht="12.75" customHeight="1"/>
    <row r="866" ht="12.75" customHeight="1"/>
    <row r="867" ht="12.75" customHeight="1"/>
    <row r="868" ht="12.75" customHeight="1"/>
    <row r="869" ht="12.75" customHeight="1"/>
    <row r="870" ht="12.75" customHeight="1"/>
    <row r="871" ht="12.75" customHeight="1"/>
    <row r="872" ht="12.75" customHeight="1"/>
    <row r="873" ht="12.75" customHeight="1"/>
    <row r="874" ht="12.75" customHeight="1"/>
    <row r="875" ht="12.75" customHeight="1"/>
    <row r="876" ht="12.75" customHeight="1"/>
    <row r="877" ht="12.75" customHeight="1"/>
    <row r="878" ht="12.75" customHeight="1"/>
    <row r="879" ht="12.75" customHeight="1"/>
    <row r="880" ht="12.75" customHeight="1"/>
    <row r="881" ht="12.75" customHeight="1"/>
    <row r="882" ht="12.75" customHeight="1"/>
    <row r="883" ht="12.75" customHeight="1"/>
    <row r="884" ht="12.75" customHeight="1"/>
    <row r="885" ht="12.75" customHeight="1"/>
    <row r="886" ht="12.75" customHeight="1"/>
    <row r="887" ht="12.75" customHeight="1"/>
    <row r="888" ht="12.75" customHeight="1"/>
    <row r="889" ht="12.75" customHeight="1"/>
    <row r="890" ht="12.75" customHeight="1"/>
    <row r="891" ht="12.75" customHeight="1"/>
    <row r="892" ht="12.75" customHeight="1"/>
    <row r="893" ht="12.75" customHeight="1"/>
    <row r="894" ht="12.75" customHeight="1"/>
    <row r="895" ht="12.75" customHeight="1"/>
    <row r="896" ht="12.75" customHeight="1"/>
    <row r="897" ht="12.75" customHeight="1"/>
    <row r="898" ht="12.75" customHeight="1"/>
    <row r="899" ht="12.75" customHeight="1"/>
    <row r="900" ht="12.75" customHeight="1"/>
    <row r="901" ht="12.75" customHeight="1"/>
    <row r="902" ht="12.75" customHeight="1"/>
    <row r="903" ht="12.75" customHeight="1"/>
    <row r="904" ht="12.75" customHeight="1"/>
    <row r="905" ht="12.75" customHeight="1"/>
    <row r="906" ht="12.75" customHeight="1"/>
    <row r="907" ht="12.75" customHeight="1"/>
    <row r="908" ht="12.75" customHeight="1"/>
    <row r="909" ht="12.75" customHeight="1"/>
    <row r="910" ht="12.75" customHeight="1"/>
    <row r="911" ht="12.75" customHeight="1"/>
    <row r="912" ht="12.75" customHeight="1"/>
    <row r="913" ht="12.75" customHeight="1"/>
    <row r="914" ht="12.75" customHeight="1"/>
    <row r="915" ht="12.75" customHeight="1"/>
    <row r="916" ht="12.75" customHeight="1"/>
    <row r="917" ht="12.75" customHeight="1"/>
    <row r="918" ht="12.75" customHeight="1"/>
    <row r="919" ht="12.75" customHeight="1"/>
    <row r="920" ht="12.75" customHeight="1"/>
    <row r="921" ht="12.75" customHeight="1"/>
    <row r="922" ht="12.75" customHeight="1"/>
    <row r="923" ht="12.75" customHeight="1"/>
    <row r="924" ht="12.75" customHeight="1"/>
    <row r="925" ht="12.75" customHeight="1"/>
    <row r="926" ht="12.75" customHeight="1"/>
    <row r="927" ht="12.75" customHeight="1"/>
    <row r="928" ht="12.75" customHeight="1"/>
    <row r="929" ht="12.75" customHeight="1"/>
    <row r="930" ht="12.75" customHeight="1"/>
    <row r="931" ht="12.75" customHeight="1"/>
    <row r="932" ht="12.75" customHeight="1"/>
    <row r="933" ht="12.75" customHeight="1"/>
    <row r="934" ht="12.75" customHeight="1"/>
    <row r="935" ht="12.75" customHeight="1"/>
    <row r="936" ht="12.75" customHeight="1"/>
    <row r="937" ht="12.75" customHeight="1"/>
    <row r="938" ht="12.75" customHeight="1"/>
    <row r="939" ht="12.75" customHeight="1"/>
    <row r="940" ht="12.75" customHeight="1"/>
    <row r="941" ht="12.75" customHeight="1"/>
    <row r="942" ht="12.75" customHeight="1"/>
    <row r="943" ht="12.75" customHeight="1"/>
    <row r="944" ht="12.75" customHeight="1"/>
    <row r="945" ht="12.75" customHeight="1"/>
    <row r="946" ht="12.75" customHeight="1"/>
    <row r="947" ht="12.75" customHeight="1"/>
    <row r="948" ht="12.75" customHeight="1"/>
    <row r="949" ht="12.75" customHeight="1"/>
    <row r="950" ht="12.75" customHeight="1"/>
    <row r="951" ht="12.75" customHeight="1"/>
    <row r="952" ht="12.75" customHeight="1"/>
    <row r="953" ht="12.75" customHeight="1"/>
    <row r="954" ht="12.75" customHeight="1"/>
    <row r="955" ht="12.75" customHeight="1"/>
    <row r="956" ht="12.75" customHeight="1"/>
    <row r="957" ht="12.75" customHeight="1"/>
    <row r="958" ht="12.75" customHeight="1"/>
    <row r="959" ht="12.75" customHeight="1"/>
    <row r="960" ht="12.75" customHeight="1"/>
    <row r="961" ht="12.75" customHeight="1"/>
    <row r="962" ht="12.75" customHeight="1"/>
    <row r="963" ht="12.75" customHeight="1"/>
    <row r="964" ht="12.75" customHeight="1"/>
    <row r="965" ht="12.75" customHeight="1"/>
    <row r="966" ht="12.75" customHeight="1"/>
    <row r="967" ht="12.75" customHeight="1"/>
    <row r="968" ht="12.75" customHeight="1"/>
    <row r="969" ht="12.75" customHeight="1"/>
    <row r="970" ht="12.75" customHeight="1"/>
    <row r="971" ht="12.75" customHeight="1"/>
    <row r="972" ht="12.75" customHeight="1"/>
    <row r="973" ht="12.75" customHeight="1"/>
    <row r="974" ht="12.75" customHeight="1"/>
    <row r="975" ht="12.75" customHeight="1"/>
    <row r="976" ht="12.75" customHeight="1"/>
    <row r="977" ht="12.75" customHeight="1"/>
    <row r="978" ht="12.75" customHeight="1"/>
    <row r="979" ht="12.75" customHeight="1"/>
    <row r="980" ht="12.75" customHeight="1"/>
    <row r="981" ht="12.75" customHeight="1"/>
    <row r="982" ht="12.75" customHeight="1"/>
    <row r="983" ht="12.75" customHeight="1"/>
    <row r="984" ht="12.75" customHeight="1"/>
    <row r="985" ht="12.75" customHeight="1"/>
    <row r="986" ht="12.75" customHeight="1"/>
    <row r="987" ht="12.75" customHeight="1"/>
    <row r="988" ht="12.75" customHeight="1"/>
    <row r="989" ht="12.75" customHeight="1"/>
    <row r="990" ht="12.75" customHeight="1"/>
    <row r="991" ht="12.75" customHeight="1"/>
    <row r="992" ht="12.75" customHeight="1"/>
    <row r="993" ht="12.75" customHeight="1"/>
    <row r="994" ht="12.75" customHeight="1"/>
    <row r="995" ht="12.75" customHeight="1"/>
    <row r="996" ht="12.75" customHeight="1"/>
    <row r="997" ht="12.75" customHeight="1"/>
    <row r="998" ht="12.75" customHeight="1"/>
  </sheetData>
  <mergeCells count="2">
    <mergeCell ref="B2:I3"/>
    <mergeCell ref="B63:I63"/>
  </mergeCells>
  <printOptions/>
  <pageMargins bottom="0.75" footer="0.0" header="0.0" left="0.7" right="0.7" top="0.75"/>
  <pageSetup orientation="portrait"/>
  <drawing r:id="rId1"/>
</worksheet>
</file>

<file path=xl/worksheets/sheet2.xml><?xml version="1.0" encoding="utf-8"?>
<worksheet xmlns="http://schemas.openxmlformats.org/spreadsheetml/2006/main" xmlns:r="http://schemas.openxmlformats.org/officeDocument/2006/relationships" xmlns:mx="http://schemas.microsoft.com/office/mac/excel/2008/main" xmlns:mc="http://schemas.openxmlformats.org/markup-compatibility/2006" xmlns:mv="urn:schemas-microsoft-com:mac:vml" xmlns:x14="http://schemas.microsoft.com/office/spreadsheetml/2009/9/main" xmlns:x15="http://schemas.microsoft.com/office/spreadsheetml/2010/11/main" xmlns:x14ac="http://schemas.microsoft.com/office/spreadsheetml/2009/9/ac" xmlns:xm="http://schemas.microsoft.com/office/excel/2006/main">
  <sheetPr>
    <pageSetUpPr/>
  </sheetPr>
  <sheetViews>
    <sheetView showGridLines="0" workbookViewId="0"/>
  </sheetViews>
  <sheetFormatPr customHeight="1" defaultColWidth="12.63" defaultRowHeight="15.0"/>
  <cols>
    <col customWidth="1" min="1" max="1" width="12.63"/>
    <col customWidth="1" min="2" max="5" width="10.63"/>
    <col customWidth="1" min="6" max="6" width="40.63"/>
    <col customWidth="1" hidden="1" min="7" max="7" width="10.63"/>
    <col customWidth="1" min="8" max="8" width="10.63"/>
    <col customWidth="1" min="9" max="9" width="10.88"/>
    <col customWidth="1" min="10" max="26" width="10.63"/>
  </cols>
  <sheetData>
    <row r="1" ht="12.75" customHeight="1"/>
    <row r="2" ht="12.75" customHeight="1">
      <c r="B2" s="1" t="s">
        <v>0</v>
      </c>
      <c r="C2" s="2"/>
      <c r="D2" s="2"/>
      <c r="E2" s="2"/>
      <c r="F2" s="2"/>
      <c r="G2" s="2"/>
      <c r="H2" s="2"/>
      <c r="I2" s="3"/>
    </row>
    <row r="3" ht="12.75" customHeight="1">
      <c r="B3" s="4"/>
      <c r="C3" s="5"/>
      <c r="D3" s="5"/>
      <c r="E3" s="5"/>
      <c r="F3" s="5"/>
      <c r="G3" s="5"/>
      <c r="H3" s="5"/>
      <c r="I3" s="6"/>
    </row>
    <row r="4" ht="12.75" customHeight="1">
      <c r="B4" s="7" t="s">
        <v>1</v>
      </c>
      <c r="C4" s="8"/>
      <c r="D4" s="8"/>
      <c r="E4" s="8"/>
      <c r="F4" s="8"/>
      <c r="G4" s="8"/>
      <c r="H4" s="8"/>
      <c r="I4" s="8"/>
    </row>
    <row r="5" ht="12.75" customHeight="1">
      <c r="B5" s="9"/>
      <c r="C5" s="10"/>
      <c r="D5" s="10"/>
      <c r="E5" s="10"/>
      <c r="F5" s="10"/>
      <c r="G5" s="11" t="s">
        <v>2</v>
      </c>
      <c r="H5" s="11" t="s">
        <v>3</v>
      </c>
      <c r="I5" s="11" t="s">
        <v>4</v>
      </c>
      <c r="J5" s="11" t="s">
        <v>5</v>
      </c>
      <c r="K5" s="11" t="s">
        <v>6</v>
      </c>
    </row>
    <row r="6" ht="12.75" customHeight="1">
      <c r="B6" s="9" t="s">
        <v>7</v>
      </c>
      <c r="C6" s="9"/>
      <c r="D6" s="9"/>
      <c r="E6" s="9"/>
      <c r="F6" s="9"/>
      <c r="G6" s="12">
        <v>23.0</v>
      </c>
      <c r="H6" s="12">
        <v>23.0</v>
      </c>
      <c r="I6" s="12">
        <v>26.0</v>
      </c>
      <c r="J6" s="13">
        <f t="shared" ref="J6:J9" si="1">+H6-I6</f>
        <v>-3</v>
      </c>
      <c r="K6" s="13">
        <f t="shared" ref="K6:K9" si="2">+H6/I6-1</f>
        <v>-0.1153846154</v>
      </c>
    </row>
    <row r="7" ht="12.75" customHeight="1">
      <c r="B7" s="9" t="s">
        <v>8</v>
      </c>
      <c r="C7" s="9"/>
      <c r="D7" s="9"/>
      <c r="E7" s="9"/>
      <c r="F7" s="9"/>
      <c r="G7" s="14">
        <v>50.0</v>
      </c>
      <c r="H7" s="14">
        <v>50.0</v>
      </c>
      <c r="I7" s="14">
        <v>50.0</v>
      </c>
      <c r="J7" s="13">
        <f t="shared" si="1"/>
        <v>0</v>
      </c>
      <c r="K7" s="13">
        <f t="shared" si="2"/>
        <v>0</v>
      </c>
    </row>
    <row r="8" ht="12.75" customHeight="1">
      <c r="A8" s="15"/>
      <c r="B8" s="9" t="s">
        <v>9</v>
      </c>
      <c r="C8" s="9"/>
      <c r="D8" s="9"/>
      <c r="E8" s="9"/>
      <c r="F8" s="9"/>
      <c r="G8" s="16">
        <v>0.4</v>
      </c>
      <c r="H8" s="16">
        <v>0.4</v>
      </c>
      <c r="I8" s="16">
        <v>0.4</v>
      </c>
      <c r="J8" s="17">
        <f t="shared" si="1"/>
        <v>0</v>
      </c>
      <c r="K8" s="17">
        <f t="shared" si="2"/>
        <v>0</v>
      </c>
    </row>
    <row r="9" ht="12.75" customHeight="1">
      <c r="A9" s="15"/>
      <c r="B9" s="9" t="s">
        <v>10</v>
      </c>
      <c r="C9" s="9"/>
      <c r="D9" s="9"/>
      <c r="E9" s="9"/>
      <c r="F9" s="9"/>
      <c r="G9" s="18">
        <v>0.112</v>
      </c>
      <c r="H9" s="18">
        <v>0.11</v>
      </c>
      <c r="I9" s="18">
        <v>0.108</v>
      </c>
      <c r="J9" s="17">
        <f t="shared" si="1"/>
        <v>0.002</v>
      </c>
      <c r="K9" s="17">
        <f t="shared" si="2"/>
        <v>0.01851851852</v>
      </c>
    </row>
    <row r="10" ht="12.75" customHeight="1">
      <c r="B10" s="9"/>
      <c r="C10" s="9"/>
      <c r="D10" s="9"/>
      <c r="E10" s="9"/>
      <c r="F10" s="9"/>
      <c r="G10" s="9"/>
      <c r="H10" s="9"/>
      <c r="I10" s="9"/>
    </row>
    <row r="11" ht="12.75" customHeight="1">
      <c r="B11" s="19" t="s">
        <v>11</v>
      </c>
      <c r="C11" s="20"/>
      <c r="D11" s="21"/>
      <c r="E11" s="21"/>
      <c r="F11" s="21"/>
      <c r="G11" s="20"/>
      <c r="H11" s="20"/>
      <c r="I11" s="22"/>
      <c r="J11" s="20"/>
      <c r="K11" s="22"/>
    </row>
    <row r="12" ht="12.75" customHeight="1">
      <c r="B12" s="23" t="s">
        <v>12</v>
      </c>
      <c r="C12" s="24"/>
      <c r="D12" s="25"/>
      <c r="E12" s="25"/>
      <c r="F12" s="25"/>
      <c r="G12" s="24"/>
      <c r="H12" s="24"/>
      <c r="I12" s="26"/>
      <c r="J12" s="24"/>
      <c r="K12" s="26"/>
    </row>
    <row r="13" ht="12.75" customHeight="1">
      <c r="B13" s="23"/>
      <c r="C13" s="24"/>
      <c r="D13" s="24"/>
      <c r="E13" s="24"/>
      <c r="F13" s="24"/>
      <c r="G13" s="27" t="str">
        <f t="shared" ref="G13:I13" si="3">G5</f>
        <v>AÑO 2</v>
      </c>
      <c r="H13" s="27" t="str">
        <f t="shared" si="3"/>
        <v>AÑO 1</v>
      </c>
      <c r="I13" s="28" t="str">
        <f t="shared" si="3"/>
        <v>AÑO 0</v>
      </c>
      <c r="J13" s="27" t="s">
        <v>5</v>
      </c>
      <c r="K13" s="28" t="s">
        <v>6</v>
      </c>
    </row>
    <row r="14" ht="12.75" customHeight="1">
      <c r="B14" s="29" t="s">
        <v>13</v>
      </c>
      <c r="C14" s="24"/>
      <c r="D14" s="24"/>
      <c r="E14" s="24"/>
      <c r="F14" s="24"/>
      <c r="G14" s="24"/>
      <c r="H14" s="24"/>
      <c r="I14" s="30"/>
      <c r="J14" s="24"/>
      <c r="K14" s="30"/>
    </row>
    <row r="15" ht="12.75" customHeight="1">
      <c r="B15" s="23" t="s">
        <v>14</v>
      </c>
      <c r="C15" s="24"/>
      <c r="D15" s="24"/>
      <c r="E15" s="24"/>
      <c r="F15" s="24"/>
      <c r="G15" s="31" t="str">
        <f t="shared" ref="G15:H15" si="4">H107</f>
        <v/>
      </c>
      <c r="H15" s="31" t="str">
        <f t="shared" si="4"/>
        <v/>
      </c>
      <c r="I15" s="32">
        <v>15.0</v>
      </c>
      <c r="J15" s="31">
        <f t="shared" ref="J15:J21" si="5">+H15-I15</f>
        <v>-15</v>
      </c>
      <c r="K15" s="33">
        <f t="shared" ref="K15:K21" si="6">+H15/I15-1</f>
        <v>-1</v>
      </c>
    </row>
    <row r="16" ht="12.75" customHeight="1">
      <c r="B16" s="23" t="s">
        <v>15</v>
      </c>
      <c r="C16" s="24"/>
      <c r="D16" s="24"/>
      <c r="E16" s="24"/>
      <c r="F16" s="24"/>
      <c r="G16" s="31">
        <v>0.0</v>
      </c>
      <c r="H16" s="31">
        <v>0.0</v>
      </c>
      <c r="I16" s="32">
        <v>65.0</v>
      </c>
      <c r="J16" s="31">
        <f t="shared" si="5"/>
        <v>-65</v>
      </c>
      <c r="K16" s="33">
        <f t="shared" si="6"/>
        <v>-1</v>
      </c>
    </row>
    <row r="17" ht="12.75" customHeight="1">
      <c r="B17" s="23" t="s">
        <v>16</v>
      </c>
      <c r="C17" s="24"/>
      <c r="D17" s="24"/>
      <c r="E17" s="24"/>
      <c r="F17" s="24"/>
      <c r="G17" s="31">
        <v>375.0</v>
      </c>
      <c r="H17" s="31">
        <v>375.0</v>
      </c>
      <c r="I17" s="32">
        <v>315.0</v>
      </c>
      <c r="J17" s="31">
        <f t="shared" si="5"/>
        <v>60</v>
      </c>
      <c r="K17" s="33">
        <f t="shared" si="6"/>
        <v>0.1904761905</v>
      </c>
    </row>
    <row r="18" ht="12.75" customHeight="1">
      <c r="B18" s="23" t="s">
        <v>17</v>
      </c>
      <c r="C18" s="24"/>
      <c r="D18" s="24"/>
      <c r="E18" s="24"/>
      <c r="F18" s="24"/>
      <c r="G18" s="34">
        <v>615.0</v>
      </c>
      <c r="H18" s="35">
        <v>615.0</v>
      </c>
      <c r="I18" s="36">
        <v>415.0</v>
      </c>
      <c r="J18" s="35">
        <f t="shared" si="5"/>
        <v>200</v>
      </c>
      <c r="K18" s="37">
        <f t="shared" si="6"/>
        <v>0.4819277108</v>
      </c>
      <c r="M18" s="38"/>
    </row>
    <row r="19" ht="12.75" customHeight="1">
      <c r="B19" s="23" t="s">
        <v>18</v>
      </c>
      <c r="C19" s="24"/>
      <c r="D19" s="24"/>
      <c r="E19" s="24"/>
      <c r="F19" s="24"/>
      <c r="G19" s="31">
        <f t="shared" ref="G19:I19" si="7">SUM(G15:G18)</f>
        <v>990</v>
      </c>
      <c r="H19" s="31">
        <f t="shared" si="7"/>
        <v>990</v>
      </c>
      <c r="I19" s="32">
        <f t="shared" si="7"/>
        <v>810</v>
      </c>
      <c r="J19" s="31">
        <f t="shared" si="5"/>
        <v>180</v>
      </c>
      <c r="K19" s="33">
        <f t="shared" si="6"/>
        <v>0.2222222222</v>
      </c>
    </row>
    <row r="20" ht="12.75" customHeight="1">
      <c r="B20" s="23" t="s">
        <v>19</v>
      </c>
      <c r="C20" s="24"/>
      <c r="D20" s="24"/>
      <c r="E20" s="24"/>
      <c r="F20" s="24"/>
      <c r="G20" s="31">
        <v>1000.0</v>
      </c>
      <c r="H20" s="31">
        <v>1000.0</v>
      </c>
      <c r="I20" s="32">
        <v>870.0</v>
      </c>
      <c r="J20" s="31">
        <f t="shared" si="5"/>
        <v>130</v>
      </c>
      <c r="K20" s="33">
        <f t="shared" si="6"/>
        <v>0.1494252874</v>
      </c>
    </row>
    <row r="21" ht="12.75" customHeight="1">
      <c r="B21" s="23" t="s">
        <v>20</v>
      </c>
      <c r="C21" s="24"/>
      <c r="D21" s="24"/>
      <c r="E21" s="24"/>
      <c r="F21" s="24"/>
      <c r="G21" s="39">
        <f t="shared" ref="G21:I21" si="8">SUM(G19:G20)</f>
        <v>1990</v>
      </c>
      <c r="H21" s="39">
        <f t="shared" si="8"/>
        <v>1990</v>
      </c>
      <c r="I21" s="40">
        <f t="shared" si="8"/>
        <v>1680</v>
      </c>
      <c r="J21" s="39">
        <f t="shared" si="5"/>
        <v>310</v>
      </c>
      <c r="K21" s="41">
        <f t="shared" si="6"/>
        <v>0.1845238095</v>
      </c>
    </row>
    <row r="22" ht="12.75" customHeight="1">
      <c r="B22" s="23"/>
      <c r="C22" s="24"/>
      <c r="D22" s="24"/>
      <c r="E22" s="24"/>
      <c r="F22" s="24"/>
      <c r="G22" s="31"/>
      <c r="H22" s="31"/>
      <c r="I22" s="32"/>
      <c r="J22" s="31"/>
      <c r="K22" s="33"/>
    </row>
    <row r="23" ht="12.75" customHeight="1">
      <c r="B23" s="29" t="s">
        <v>21</v>
      </c>
      <c r="C23" s="24"/>
      <c r="D23" s="24"/>
      <c r="E23" s="24"/>
      <c r="F23" s="24"/>
      <c r="G23" s="31"/>
      <c r="H23" s="31"/>
      <c r="I23" s="32"/>
      <c r="J23" s="31"/>
      <c r="K23" s="33"/>
    </row>
    <row r="24" ht="12.75" customHeight="1">
      <c r="B24" s="23" t="s">
        <v>22</v>
      </c>
      <c r="C24" s="24"/>
      <c r="D24" s="24"/>
      <c r="E24" s="24"/>
      <c r="F24" s="24"/>
      <c r="G24" s="31">
        <v>60.0</v>
      </c>
      <c r="H24" s="31">
        <v>60.0</v>
      </c>
      <c r="I24" s="32">
        <v>30.0</v>
      </c>
      <c r="J24" s="31">
        <f t="shared" ref="J24:J34" si="9">+H24-I24</f>
        <v>30</v>
      </c>
      <c r="K24" s="33">
        <f t="shared" ref="K24:K34" si="10">+H24/I24-1</f>
        <v>1</v>
      </c>
    </row>
    <row r="25" ht="12.75" customHeight="1">
      <c r="B25" s="23" t="s">
        <v>23</v>
      </c>
      <c r="C25" s="24"/>
      <c r="D25" s="24"/>
      <c r="E25" s="24"/>
      <c r="F25" s="24"/>
      <c r="G25" s="31">
        <v>110.0</v>
      </c>
      <c r="H25" s="31">
        <v>110.0</v>
      </c>
      <c r="I25" s="32">
        <v>60.0</v>
      </c>
      <c r="J25" s="31">
        <f t="shared" si="9"/>
        <v>50</v>
      </c>
      <c r="K25" s="33">
        <f t="shared" si="10"/>
        <v>0.8333333333</v>
      </c>
    </row>
    <row r="26" ht="12.75" customHeight="1">
      <c r="B26" s="23" t="s">
        <v>24</v>
      </c>
      <c r="C26" s="24"/>
      <c r="D26" s="24"/>
      <c r="E26" s="24"/>
      <c r="F26" s="24"/>
      <c r="G26" s="35">
        <v>140.0</v>
      </c>
      <c r="H26" s="35">
        <v>140.0</v>
      </c>
      <c r="I26" s="36">
        <v>130.0</v>
      </c>
      <c r="J26" s="35">
        <f t="shared" si="9"/>
        <v>10</v>
      </c>
      <c r="K26" s="37">
        <f t="shared" si="10"/>
        <v>0.07692307692</v>
      </c>
    </row>
    <row r="27" ht="12.75" customHeight="1">
      <c r="B27" s="23" t="s">
        <v>25</v>
      </c>
      <c r="C27" s="24"/>
      <c r="D27" s="24"/>
      <c r="E27" s="24"/>
      <c r="F27" s="24"/>
      <c r="G27" s="31">
        <f t="shared" ref="G27:I27" si="11">SUM(G24:G26)</f>
        <v>310</v>
      </c>
      <c r="H27" s="31">
        <f t="shared" si="11"/>
        <v>310</v>
      </c>
      <c r="I27" s="32">
        <f t="shared" si="11"/>
        <v>220</v>
      </c>
      <c r="J27" s="31">
        <f t="shared" si="9"/>
        <v>90</v>
      </c>
      <c r="K27" s="33">
        <f t="shared" si="10"/>
        <v>0.4090909091</v>
      </c>
    </row>
    <row r="28" ht="12.75" customHeight="1">
      <c r="B28" s="23" t="s">
        <v>26</v>
      </c>
      <c r="C28" s="24"/>
      <c r="D28" s="24"/>
      <c r="E28" s="24"/>
      <c r="F28" s="24"/>
      <c r="G28" s="35">
        <v>754.0</v>
      </c>
      <c r="H28" s="35">
        <v>754.0</v>
      </c>
      <c r="I28" s="36">
        <v>580.0</v>
      </c>
      <c r="J28" s="35">
        <f t="shared" si="9"/>
        <v>174</v>
      </c>
      <c r="K28" s="37">
        <f t="shared" si="10"/>
        <v>0.3</v>
      </c>
    </row>
    <row r="29" ht="12.75" customHeight="1">
      <c r="B29" s="23" t="s">
        <v>27</v>
      </c>
      <c r="C29" s="24"/>
      <c r="D29" s="24"/>
      <c r="E29" s="24"/>
      <c r="F29" s="24"/>
      <c r="G29" s="31">
        <f t="shared" ref="G29:I29" si="12">SUM(G27:G28)</f>
        <v>1064</v>
      </c>
      <c r="H29" s="31">
        <f t="shared" si="12"/>
        <v>1064</v>
      </c>
      <c r="I29" s="32">
        <f t="shared" si="12"/>
        <v>800</v>
      </c>
      <c r="J29" s="31">
        <f t="shared" si="9"/>
        <v>264</v>
      </c>
      <c r="K29" s="33">
        <f t="shared" si="10"/>
        <v>0.33</v>
      </c>
    </row>
    <row r="30" ht="12.75" customHeight="1">
      <c r="B30" s="23" t="s">
        <v>28</v>
      </c>
      <c r="C30" s="24"/>
      <c r="D30" s="24"/>
      <c r="E30" s="24"/>
      <c r="F30" s="24"/>
      <c r="G30" s="31">
        <v>40.0</v>
      </c>
      <c r="H30" s="31">
        <v>40.0</v>
      </c>
      <c r="I30" s="32">
        <v>40.0</v>
      </c>
      <c r="J30" s="31">
        <f t="shared" si="9"/>
        <v>0</v>
      </c>
      <c r="K30" s="33">
        <f t="shared" si="10"/>
        <v>0</v>
      </c>
    </row>
    <row r="31" ht="12.75" customHeight="1">
      <c r="B31" s="23" t="s">
        <v>29</v>
      </c>
      <c r="C31" s="24"/>
      <c r="D31" s="24"/>
      <c r="E31" s="24"/>
      <c r="F31" s="24"/>
      <c r="G31" s="31">
        <v>130.0</v>
      </c>
      <c r="H31" s="31">
        <v>130.0</v>
      </c>
      <c r="I31" s="32">
        <v>130.0</v>
      </c>
      <c r="J31" s="31">
        <f t="shared" si="9"/>
        <v>0</v>
      </c>
      <c r="K31" s="33">
        <f t="shared" si="10"/>
        <v>0</v>
      </c>
    </row>
    <row r="32" ht="12.75" customHeight="1">
      <c r="B32" s="23" t="s">
        <v>30</v>
      </c>
      <c r="C32" s="24"/>
      <c r="D32" s="24"/>
      <c r="E32" s="24"/>
      <c r="F32" s="24"/>
      <c r="G32" s="35">
        <f t="shared" ref="G32:H32" si="13">H32+G53</f>
        <v>881.96</v>
      </c>
      <c r="H32" s="35">
        <f t="shared" si="13"/>
        <v>765.98</v>
      </c>
      <c r="I32" s="36">
        <v>710.0</v>
      </c>
      <c r="J32" s="35">
        <f t="shared" si="9"/>
        <v>55.98</v>
      </c>
      <c r="K32" s="37">
        <f t="shared" si="10"/>
        <v>0.07884507042</v>
      </c>
    </row>
    <row r="33" ht="12.75" customHeight="1">
      <c r="B33" s="23" t="s">
        <v>31</v>
      </c>
      <c r="C33" s="24"/>
      <c r="D33" s="24"/>
      <c r="E33" s="24"/>
      <c r="F33" s="24"/>
      <c r="G33" s="31">
        <f t="shared" ref="G33:I33" si="14">SUM(G31:G32)</f>
        <v>1011.96</v>
      </c>
      <c r="H33" s="31">
        <f t="shared" si="14"/>
        <v>895.98</v>
      </c>
      <c r="I33" s="32">
        <f t="shared" si="14"/>
        <v>840</v>
      </c>
      <c r="J33" s="31">
        <f t="shared" si="9"/>
        <v>55.98</v>
      </c>
      <c r="K33" s="33">
        <f t="shared" si="10"/>
        <v>0.06664285714</v>
      </c>
    </row>
    <row r="34" ht="12.75" customHeight="1">
      <c r="B34" s="42" t="s">
        <v>32</v>
      </c>
      <c r="C34" s="43"/>
      <c r="D34" s="43"/>
      <c r="E34" s="43"/>
      <c r="F34" s="43"/>
      <c r="G34" s="44">
        <f t="shared" ref="G34:I34" si="15">SUM(G29,G30,G33)</f>
        <v>2115.96</v>
      </c>
      <c r="H34" s="44">
        <f t="shared" si="15"/>
        <v>1999.98</v>
      </c>
      <c r="I34" s="45">
        <f t="shared" si="15"/>
        <v>1680</v>
      </c>
      <c r="J34" s="44">
        <f t="shared" si="9"/>
        <v>319.98</v>
      </c>
      <c r="K34" s="46">
        <f t="shared" si="10"/>
        <v>0.1904642857</v>
      </c>
    </row>
    <row r="35" ht="12.75" customHeight="1">
      <c r="B35" s="9"/>
      <c r="C35" s="9"/>
      <c r="D35" s="9"/>
      <c r="E35" s="9"/>
      <c r="F35" s="9"/>
      <c r="G35" s="9"/>
      <c r="H35" s="9"/>
      <c r="I35" s="9"/>
      <c r="J35" s="47"/>
      <c r="K35" s="48"/>
    </row>
    <row r="36" ht="12.75" customHeight="1">
      <c r="B36" s="19" t="s">
        <v>11</v>
      </c>
      <c r="C36" s="49"/>
      <c r="D36" s="50"/>
      <c r="E36" s="50"/>
      <c r="F36" s="50"/>
      <c r="G36" s="49"/>
      <c r="H36" s="49"/>
      <c r="I36" s="51"/>
      <c r="J36" s="49"/>
      <c r="K36" s="51"/>
    </row>
    <row r="37" ht="12.75" customHeight="1">
      <c r="B37" s="23" t="s">
        <v>33</v>
      </c>
      <c r="C37" s="24"/>
      <c r="D37" s="52"/>
      <c r="E37" s="52"/>
      <c r="F37" s="52"/>
      <c r="G37" s="24"/>
      <c r="H37" s="24"/>
      <c r="I37" s="26"/>
      <c r="J37" s="24"/>
      <c r="K37" s="26"/>
    </row>
    <row r="38" ht="12.75" customHeight="1">
      <c r="B38" s="23"/>
      <c r="C38" s="24"/>
      <c r="D38" s="24"/>
      <c r="E38" s="24"/>
      <c r="F38" s="24"/>
      <c r="G38" s="27" t="str">
        <f t="shared" ref="G38:I38" si="16">G5</f>
        <v>AÑO 2</v>
      </c>
      <c r="H38" s="27" t="str">
        <f t="shared" si="16"/>
        <v>AÑO 1</v>
      </c>
      <c r="I38" s="53" t="str">
        <f t="shared" si="16"/>
        <v>AÑO 0</v>
      </c>
      <c r="J38" s="27" t="s">
        <v>5</v>
      </c>
      <c r="K38" s="53" t="s">
        <v>6</v>
      </c>
    </row>
    <row r="39" ht="12.75" customHeight="1">
      <c r="B39" s="23" t="s">
        <v>34</v>
      </c>
      <c r="C39" s="24"/>
      <c r="D39" s="24"/>
      <c r="E39" s="24"/>
      <c r="F39" s="24"/>
      <c r="G39" s="24"/>
      <c r="H39" s="24"/>
      <c r="I39" s="54"/>
      <c r="J39" s="24"/>
      <c r="K39" s="54"/>
    </row>
    <row r="40" ht="12.75" customHeight="1">
      <c r="B40" s="23" t="s">
        <v>35</v>
      </c>
      <c r="C40" s="24"/>
      <c r="D40" s="24"/>
      <c r="E40" s="24"/>
      <c r="F40" s="24"/>
      <c r="G40" s="55">
        <v>3100.0</v>
      </c>
      <c r="H40" s="55">
        <v>3000.0</v>
      </c>
      <c r="I40" s="56">
        <v>2850.0</v>
      </c>
      <c r="J40" s="55">
        <f t="shared" ref="J40:J50" si="17">+H40-I40</f>
        <v>150</v>
      </c>
      <c r="K40" s="33">
        <f t="shared" ref="K40:K50" si="18">+H40/I40-1</f>
        <v>0.05263157895</v>
      </c>
      <c r="M40" s="38" t="s">
        <v>82</v>
      </c>
    </row>
    <row r="41" ht="12.75" customHeight="1">
      <c r="B41" s="23" t="s">
        <v>36</v>
      </c>
      <c r="C41" s="24"/>
      <c r="D41" s="24"/>
      <c r="E41" s="24"/>
      <c r="F41" s="24"/>
      <c r="G41" s="34">
        <v>2616.2</v>
      </c>
      <c r="H41" s="34">
        <v>2616.2</v>
      </c>
      <c r="I41" s="57">
        <v>2497.0</v>
      </c>
      <c r="J41" s="34">
        <f t="shared" si="17"/>
        <v>119.2</v>
      </c>
      <c r="K41" s="37">
        <f t="shared" si="18"/>
        <v>0.04773728474</v>
      </c>
    </row>
    <row r="42" ht="12.75" customHeight="1">
      <c r="B42" s="58" t="s">
        <v>37</v>
      </c>
      <c r="C42" s="24"/>
      <c r="D42" s="24"/>
      <c r="E42" s="24"/>
      <c r="F42" s="24"/>
      <c r="G42" s="55">
        <f t="shared" ref="G42:I42" si="19">G40-G41</f>
        <v>483.8</v>
      </c>
      <c r="H42" s="55">
        <f t="shared" si="19"/>
        <v>383.8</v>
      </c>
      <c r="I42" s="56">
        <f t="shared" si="19"/>
        <v>353</v>
      </c>
      <c r="J42" s="55">
        <f t="shared" si="17"/>
        <v>30.8</v>
      </c>
      <c r="K42" s="33">
        <f t="shared" si="18"/>
        <v>0.08725212465</v>
      </c>
    </row>
    <row r="43" ht="12.75" customHeight="1">
      <c r="B43" s="23" t="s">
        <v>38</v>
      </c>
      <c r="C43" s="24"/>
      <c r="D43" s="24"/>
      <c r="E43" s="24"/>
      <c r="F43" s="24"/>
      <c r="G43" s="34">
        <v>100.0</v>
      </c>
      <c r="H43" s="34">
        <v>100.0</v>
      </c>
      <c r="I43" s="57">
        <v>90.0</v>
      </c>
      <c r="J43" s="34">
        <f t="shared" si="17"/>
        <v>10</v>
      </c>
      <c r="K43" s="37">
        <f t="shared" si="18"/>
        <v>0.1111111111</v>
      </c>
    </row>
    <row r="44" ht="12.75" customHeight="1">
      <c r="B44" s="23" t="s">
        <v>39</v>
      </c>
      <c r="C44" s="24"/>
      <c r="D44" s="24"/>
      <c r="E44" s="24"/>
      <c r="F44" s="24"/>
      <c r="G44" s="55">
        <f t="shared" ref="G44:I44" si="20">G42-G43</f>
        <v>383.8</v>
      </c>
      <c r="H44" s="55">
        <f t="shared" si="20"/>
        <v>283.8</v>
      </c>
      <c r="I44" s="56">
        <f t="shared" si="20"/>
        <v>263</v>
      </c>
      <c r="J44" s="55">
        <f t="shared" si="17"/>
        <v>20.8</v>
      </c>
      <c r="K44" s="33">
        <f t="shared" si="18"/>
        <v>0.07908745247</v>
      </c>
    </row>
    <row r="45" ht="12.75" customHeight="1">
      <c r="B45" s="23" t="s">
        <v>40</v>
      </c>
      <c r="C45" s="24"/>
      <c r="D45" s="24"/>
      <c r="E45" s="24"/>
      <c r="F45" s="24"/>
      <c r="G45" s="34">
        <v>88.0</v>
      </c>
      <c r="H45" s="34">
        <v>88.0</v>
      </c>
      <c r="I45" s="57">
        <v>60.0</v>
      </c>
      <c r="J45" s="34">
        <f t="shared" si="17"/>
        <v>28</v>
      </c>
      <c r="K45" s="37">
        <f t="shared" si="18"/>
        <v>0.4666666667</v>
      </c>
      <c r="L45" s="59">
        <f t="shared" ref="L45:M45" si="21">+H45/H29</f>
        <v>0.08270676692</v>
      </c>
      <c r="M45" s="59">
        <f t="shared" si="21"/>
        <v>0.075</v>
      </c>
      <c r="N45" s="59">
        <f>+G45/G29</f>
        <v>0.08270676692</v>
      </c>
    </row>
    <row r="46" ht="12.75" customHeight="1">
      <c r="B46" s="23" t="s">
        <v>41</v>
      </c>
      <c r="C46" s="24"/>
      <c r="D46" s="24"/>
      <c r="E46" s="24"/>
      <c r="F46" s="24"/>
      <c r="G46" s="55">
        <f t="shared" ref="G46:I46" si="22">G44-G45</f>
        <v>295.8</v>
      </c>
      <c r="H46" s="55">
        <f t="shared" si="22"/>
        <v>195.8</v>
      </c>
      <c r="I46" s="56">
        <f t="shared" si="22"/>
        <v>203</v>
      </c>
      <c r="J46" s="55">
        <f t="shared" si="17"/>
        <v>-7.2</v>
      </c>
      <c r="K46" s="33">
        <f t="shared" si="18"/>
        <v>-0.0354679803</v>
      </c>
    </row>
    <row r="47" ht="12.75" customHeight="1">
      <c r="B47" s="23" t="s">
        <v>42</v>
      </c>
      <c r="C47" s="60"/>
      <c r="D47" s="24"/>
      <c r="E47" s="24"/>
      <c r="F47" s="24"/>
      <c r="G47" s="34">
        <f t="shared" ref="G47:I47" si="23">G46*G8</f>
        <v>118.32</v>
      </c>
      <c r="H47" s="34">
        <f t="shared" si="23"/>
        <v>78.32</v>
      </c>
      <c r="I47" s="57">
        <f t="shared" si="23"/>
        <v>81.2</v>
      </c>
      <c r="J47" s="34">
        <f t="shared" si="17"/>
        <v>-2.88</v>
      </c>
      <c r="K47" s="37">
        <f t="shared" si="18"/>
        <v>-0.0354679803</v>
      </c>
    </row>
    <row r="48" ht="12.75" customHeight="1">
      <c r="B48" s="23" t="s">
        <v>43</v>
      </c>
      <c r="C48" s="24"/>
      <c r="D48" s="24"/>
      <c r="E48" s="24"/>
      <c r="F48" s="24"/>
      <c r="G48" s="55">
        <f t="shared" ref="G48:I48" si="24">G46-G47</f>
        <v>177.48</v>
      </c>
      <c r="H48" s="55">
        <f t="shared" si="24"/>
        <v>117.48</v>
      </c>
      <c r="I48" s="56">
        <f t="shared" si="24"/>
        <v>121.8</v>
      </c>
      <c r="J48" s="55">
        <f t="shared" si="17"/>
        <v>-4.32</v>
      </c>
      <c r="K48" s="33">
        <f t="shared" si="18"/>
        <v>-0.0354679803</v>
      </c>
      <c r="L48" s="59">
        <f t="shared" ref="L48:M48" si="25">+H47/H46</f>
        <v>0.4</v>
      </c>
      <c r="M48" s="59">
        <f t="shared" si="25"/>
        <v>0.4</v>
      </c>
      <c r="N48" s="59">
        <f>+G47/G46</f>
        <v>0.4</v>
      </c>
    </row>
    <row r="49" ht="12.75" customHeight="1">
      <c r="B49" s="23" t="s">
        <v>44</v>
      </c>
      <c r="C49" s="24"/>
      <c r="D49" s="24"/>
      <c r="E49" s="24"/>
      <c r="F49" s="24"/>
      <c r="G49" s="34">
        <v>4.0</v>
      </c>
      <c r="H49" s="34">
        <v>4.0</v>
      </c>
      <c r="I49" s="57">
        <v>4.0</v>
      </c>
      <c r="J49" s="34">
        <f t="shared" si="17"/>
        <v>0</v>
      </c>
      <c r="K49" s="37">
        <f t="shared" si="18"/>
        <v>0</v>
      </c>
    </row>
    <row r="50" ht="12.75" customHeight="1">
      <c r="B50" s="23" t="s">
        <v>45</v>
      </c>
      <c r="C50" s="24"/>
      <c r="D50" s="24"/>
      <c r="E50" s="24"/>
      <c r="F50" s="24"/>
      <c r="G50" s="61">
        <f t="shared" ref="G50:I50" si="26">G48-G49</f>
        <v>173.48</v>
      </c>
      <c r="H50" s="61">
        <f t="shared" si="26"/>
        <v>113.48</v>
      </c>
      <c r="I50" s="62">
        <f t="shared" si="26"/>
        <v>117.8</v>
      </c>
      <c r="J50" s="61">
        <f t="shared" si="17"/>
        <v>-4.32</v>
      </c>
      <c r="K50" s="41">
        <f t="shared" si="18"/>
        <v>-0.03667232598</v>
      </c>
    </row>
    <row r="51" ht="12.75" customHeight="1">
      <c r="B51" s="23"/>
      <c r="C51" s="24"/>
      <c r="D51" s="24"/>
      <c r="E51" s="24"/>
      <c r="F51" s="24"/>
      <c r="G51" s="55"/>
      <c r="H51" s="55"/>
      <c r="I51" s="56"/>
      <c r="J51" s="55"/>
      <c r="K51" s="33"/>
    </row>
    <row r="52" ht="12.75" customHeight="1">
      <c r="B52" s="58" t="s">
        <v>46</v>
      </c>
      <c r="C52" s="24"/>
      <c r="D52" s="24"/>
      <c r="E52" s="24"/>
      <c r="F52" s="24"/>
      <c r="G52" s="55">
        <v>57.5</v>
      </c>
      <c r="H52" s="55">
        <v>57.5</v>
      </c>
      <c r="I52" s="56">
        <v>53.0</v>
      </c>
      <c r="J52" s="55">
        <f t="shared" ref="J52:J53" si="28">+H52-I52</f>
        <v>4.5</v>
      </c>
      <c r="K52" s="33">
        <f t="shared" ref="K52:K53" si="29">+H52/I52-1</f>
        <v>0.08490566038</v>
      </c>
    </row>
    <row r="53" ht="12.75" customHeight="1">
      <c r="B53" s="63" t="s">
        <v>47</v>
      </c>
      <c r="C53" s="24"/>
      <c r="D53" s="24"/>
      <c r="E53" s="24"/>
      <c r="F53" s="24"/>
      <c r="G53" s="55">
        <f t="shared" ref="G53:I53" si="27">G50-G52</f>
        <v>115.98</v>
      </c>
      <c r="H53" s="55">
        <f t="shared" si="27"/>
        <v>55.98</v>
      </c>
      <c r="I53" s="56">
        <f t="shared" si="27"/>
        <v>64.8</v>
      </c>
      <c r="J53" s="55">
        <f t="shared" si="28"/>
        <v>-8.82</v>
      </c>
      <c r="K53" s="33">
        <f t="shared" si="29"/>
        <v>-0.1361111111</v>
      </c>
    </row>
    <row r="54" ht="12.75" customHeight="1">
      <c r="B54" s="23"/>
      <c r="C54" s="24"/>
      <c r="D54" s="24"/>
      <c r="E54" s="24"/>
      <c r="F54" s="24"/>
      <c r="G54" s="24"/>
      <c r="H54" s="24"/>
      <c r="I54" s="26"/>
      <c r="J54" s="24"/>
      <c r="K54" s="26"/>
    </row>
    <row r="55" ht="12.75" customHeight="1">
      <c r="B55" s="64" t="s">
        <v>48</v>
      </c>
      <c r="C55" s="43"/>
      <c r="D55" s="43"/>
      <c r="E55" s="43"/>
      <c r="F55" s="43"/>
      <c r="G55" s="43"/>
      <c r="H55" s="43"/>
      <c r="I55" s="65"/>
      <c r="J55" s="43"/>
      <c r="K55" s="65"/>
    </row>
    <row r="56" ht="12.75" customHeight="1">
      <c r="B56" s="9"/>
      <c r="C56" s="9"/>
      <c r="D56" s="9"/>
      <c r="E56" s="9"/>
      <c r="F56" s="9"/>
      <c r="G56" s="9"/>
      <c r="H56" s="9"/>
      <c r="I56" s="9"/>
      <c r="J56" s="47"/>
      <c r="K56" s="48"/>
    </row>
    <row r="57" ht="12.75" customHeight="1">
      <c r="B57" s="66" t="s">
        <v>49</v>
      </c>
      <c r="C57" s="9"/>
      <c r="D57" s="9"/>
      <c r="E57" s="9"/>
      <c r="F57" s="9"/>
      <c r="G57" s="18"/>
      <c r="H57" s="18"/>
      <c r="I57" s="18"/>
      <c r="J57" s="47"/>
      <c r="K57" s="48"/>
    </row>
    <row r="58" ht="12.75" customHeight="1">
      <c r="B58" s="9" t="s">
        <v>50</v>
      </c>
      <c r="C58" s="9"/>
      <c r="D58" s="9"/>
      <c r="E58" s="9"/>
      <c r="F58" s="9"/>
      <c r="G58" s="12">
        <f t="shared" ref="G58:I58" si="30">G50/G7</f>
        <v>3.4696</v>
      </c>
      <c r="H58" s="12">
        <f t="shared" si="30"/>
        <v>2.2696</v>
      </c>
      <c r="I58" s="12">
        <f t="shared" si="30"/>
        <v>2.356</v>
      </c>
      <c r="J58" s="47">
        <f t="shared" ref="J58:J60" si="32">+H58-I58</f>
        <v>-0.0864</v>
      </c>
      <c r="K58" s="48">
        <f t="shared" ref="K58:K60" si="33">+H58/I58-1</f>
        <v>-0.03667232598</v>
      </c>
    </row>
    <row r="59" ht="12.75" customHeight="1">
      <c r="B59" s="9" t="s">
        <v>51</v>
      </c>
      <c r="C59" s="9"/>
      <c r="D59" s="9"/>
      <c r="E59" s="9"/>
      <c r="F59" s="9"/>
      <c r="G59" s="12">
        <f t="shared" ref="G59:I59" si="31">G52/G7</f>
        <v>1.15</v>
      </c>
      <c r="H59" s="12">
        <f t="shared" si="31"/>
        <v>1.15</v>
      </c>
      <c r="I59" s="12">
        <f t="shared" si="31"/>
        <v>1.06</v>
      </c>
      <c r="J59" s="47">
        <f t="shared" si="32"/>
        <v>0.09</v>
      </c>
      <c r="K59" s="48">
        <f t="shared" si="33"/>
        <v>0.08490566038</v>
      </c>
    </row>
    <row r="60" ht="12.75" customHeight="1">
      <c r="B60" s="9" t="s">
        <v>52</v>
      </c>
      <c r="C60" s="9"/>
      <c r="D60" s="9"/>
      <c r="E60" s="9"/>
      <c r="F60" s="9"/>
      <c r="G60" s="12">
        <f t="shared" ref="G60:I60" si="34">G33/G7</f>
        <v>20.2392</v>
      </c>
      <c r="H60" s="12">
        <f t="shared" si="34"/>
        <v>17.9196</v>
      </c>
      <c r="I60" s="12">
        <f t="shared" si="34"/>
        <v>16.8</v>
      </c>
      <c r="J60" s="47">
        <f t="shared" si="32"/>
        <v>1.1196</v>
      </c>
      <c r="K60" s="48">
        <f t="shared" si="33"/>
        <v>0.06664285714</v>
      </c>
    </row>
    <row r="61" ht="12.75" customHeight="1"/>
    <row r="62" ht="12.75" customHeight="1"/>
    <row r="63" ht="12.75" customHeight="1">
      <c r="B63" s="67" t="s">
        <v>53</v>
      </c>
      <c r="C63" s="68"/>
      <c r="D63" s="68"/>
      <c r="E63" s="68"/>
      <c r="F63" s="68"/>
      <c r="G63" s="68"/>
      <c r="H63" s="68"/>
      <c r="I63" s="69"/>
    </row>
    <row r="64" ht="12.75" customHeight="1">
      <c r="B64" s="70" t="s">
        <v>54</v>
      </c>
      <c r="C64" s="71"/>
      <c r="D64" s="71"/>
      <c r="E64" s="71"/>
      <c r="F64" s="71"/>
      <c r="G64" s="71"/>
      <c r="H64" s="71"/>
      <c r="I64" s="71"/>
    </row>
    <row r="65" ht="12.75" customHeight="1">
      <c r="B65" s="70" t="s">
        <v>55</v>
      </c>
      <c r="C65" s="71"/>
      <c r="D65" s="71"/>
      <c r="E65" s="71"/>
      <c r="F65" s="71"/>
      <c r="G65" s="71"/>
      <c r="H65" s="71"/>
      <c r="I65" s="71"/>
    </row>
    <row r="66" ht="12.75" customHeight="1">
      <c r="A66" s="72"/>
      <c r="B66" s="73"/>
      <c r="C66" s="74"/>
      <c r="D66" s="74"/>
      <c r="E66" s="74"/>
      <c r="F66" s="74"/>
      <c r="G66" s="74"/>
      <c r="H66" s="75"/>
      <c r="I66" s="75"/>
      <c r="J66" s="75"/>
      <c r="K66" s="75"/>
      <c r="L66" s="72"/>
      <c r="M66" s="72"/>
      <c r="N66" s="72"/>
      <c r="O66" s="72"/>
      <c r="P66" s="72"/>
      <c r="Q66" s="72"/>
      <c r="R66" s="72"/>
      <c r="S66" s="72"/>
      <c r="T66" s="72"/>
      <c r="U66" s="72"/>
      <c r="V66" s="72"/>
      <c r="W66" s="72"/>
      <c r="X66" s="72"/>
      <c r="Y66" s="72"/>
      <c r="Z66" s="72"/>
    </row>
    <row r="67" ht="12.75" customHeight="1">
      <c r="B67" s="76"/>
      <c r="C67" s="77"/>
      <c r="D67" s="77"/>
      <c r="E67" s="77"/>
      <c r="F67" s="77"/>
      <c r="G67" s="78"/>
      <c r="H67" s="79" t="s">
        <v>3</v>
      </c>
      <c r="I67" s="79" t="s">
        <v>56</v>
      </c>
      <c r="J67" s="79" t="s">
        <v>5</v>
      </c>
      <c r="K67" s="79" t="s">
        <v>6</v>
      </c>
    </row>
    <row r="68" ht="12.0" customHeight="1">
      <c r="A68" s="15"/>
      <c r="B68" s="80" t="s">
        <v>57</v>
      </c>
      <c r="C68" s="20"/>
      <c r="D68" s="20"/>
      <c r="E68" s="20"/>
      <c r="F68" s="20"/>
      <c r="G68" s="81">
        <f t="shared" ref="G68:I68" si="35">+G15+G17+G18-G24-G26</f>
        <v>790</v>
      </c>
      <c r="H68" s="81">
        <f t="shared" si="35"/>
        <v>790</v>
      </c>
      <c r="I68" s="82">
        <f t="shared" si="35"/>
        <v>585</v>
      </c>
      <c r="J68" s="81">
        <f t="shared" ref="J68:J72" si="37">+H68-I68</f>
        <v>205</v>
      </c>
      <c r="K68" s="83">
        <f t="shared" ref="K68:K72" si="38">+H68/I68-1</f>
        <v>0.3504273504</v>
      </c>
      <c r="M68" s="15"/>
    </row>
    <row r="69" ht="12.0" customHeight="1">
      <c r="A69" s="15"/>
      <c r="B69" s="23" t="s">
        <v>58</v>
      </c>
      <c r="C69" s="24"/>
      <c r="D69" s="24"/>
      <c r="E69" s="24"/>
      <c r="F69" s="24"/>
      <c r="G69" s="31" t="str">
        <f>+G68+#REF!</f>
        <v>#REF!</v>
      </c>
      <c r="H69" s="31">
        <f t="shared" ref="H69:I69" si="36">+H15+H17+H18-H24-H26+H20</f>
        <v>1790</v>
      </c>
      <c r="I69" s="32">
        <f t="shared" si="36"/>
        <v>1455</v>
      </c>
      <c r="J69" s="31">
        <f t="shared" si="37"/>
        <v>335</v>
      </c>
      <c r="K69" s="33">
        <f t="shared" si="38"/>
        <v>0.2302405498</v>
      </c>
    </row>
    <row r="70" ht="12.0" customHeight="1">
      <c r="A70" s="15"/>
      <c r="B70" s="63" t="s">
        <v>59</v>
      </c>
      <c r="C70" s="24"/>
      <c r="D70" s="24"/>
      <c r="E70" s="24"/>
      <c r="F70" s="24"/>
      <c r="G70" s="31"/>
      <c r="H70" s="31">
        <f t="shared" ref="H70:I70" si="39">(H17/(H17+H40))*365</f>
        <v>40.55555556</v>
      </c>
      <c r="I70" s="32">
        <f t="shared" si="39"/>
        <v>36.32701422</v>
      </c>
      <c r="J70" s="31">
        <f t="shared" si="37"/>
        <v>4.228541338</v>
      </c>
      <c r="K70" s="33">
        <f t="shared" si="38"/>
        <v>0.1164021164</v>
      </c>
      <c r="M70" s="84"/>
    </row>
    <row r="71" ht="12.0" customHeight="1">
      <c r="A71" s="15"/>
      <c r="B71" s="23" t="s">
        <v>60</v>
      </c>
      <c r="C71" s="24"/>
      <c r="D71" s="24"/>
      <c r="E71" s="24"/>
      <c r="F71" s="24"/>
      <c r="G71" s="31">
        <f t="shared" ref="G71:I71" si="40">+G44</f>
        <v>383.8</v>
      </c>
      <c r="H71" s="31">
        <f t="shared" si="40"/>
        <v>283.8</v>
      </c>
      <c r="I71" s="32">
        <f t="shared" si="40"/>
        <v>263</v>
      </c>
      <c r="J71" s="31">
        <f t="shared" si="37"/>
        <v>20.8</v>
      </c>
      <c r="K71" s="33">
        <f t="shared" si="38"/>
        <v>0.07908745247</v>
      </c>
      <c r="M71" s="84"/>
    </row>
    <row r="72" ht="12.0" customHeight="1">
      <c r="A72" s="85"/>
      <c r="B72" s="63" t="s">
        <v>83</v>
      </c>
      <c r="C72" s="24"/>
      <c r="D72" s="24"/>
      <c r="E72" s="24"/>
      <c r="F72" s="24"/>
      <c r="G72" s="31">
        <f>+G44*(1-N48)</f>
        <v>230.28</v>
      </c>
      <c r="H72" s="31">
        <f t="shared" ref="H72:I72" si="41">+H44*(1-L48)</f>
        <v>170.28</v>
      </c>
      <c r="I72" s="32">
        <f t="shared" si="41"/>
        <v>157.8</v>
      </c>
      <c r="J72" s="31">
        <f t="shared" si="37"/>
        <v>12.48</v>
      </c>
      <c r="K72" s="33">
        <f t="shared" si="38"/>
        <v>0.07908745247</v>
      </c>
      <c r="M72" s="84"/>
    </row>
    <row r="73" ht="12.0" customHeight="1">
      <c r="B73" s="63" t="s">
        <v>62</v>
      </c>
      <c r="C73" s="24"/>
      <c r="D73" s="24"/>
      <c r="E73" s="24"/>
      <c r="F73" s="24"/>
      <c r="G73" s="31"/>
      <c r="H73" s="86">
        <f t="shared" ref="H73:I73" si="42">H45/H29</f>
        <v>0.08270676692</v>
      </c>
      <c r="I73" s="33">
        <f t="shared" si="42"/>
        <v>0.075</v>
      </c>
      <c r="J73" s="86">
        <f t="shared" ref="J73:K73" si="43">H73-I73</f>
        <v>0.007706766917</v>
      </c>
      <c r="K73" s="33">
        <f t="shared" si="43"/>
        <v>0.06729323308</v>
      </c>
      <c r="M73" s="84"/>
    </row>
    <row r="74" ht="12.0" customHeight="1">
      <c r="B74" s="63" t="s">
        <v>84</v>
      </c>
      <c r="C74" s="24"/>
      <c r="D74" s="24"/>
      <c r="E74" s="24"/>
      <c r="F74" s="24"/>
      <c r="G74" s="31"/>
      <c r="H74" s="86">
        <f t="shared" ref="H74:I74" si="44">(H9-(H73*(1-H8)*(H29/H34)))/(H33/H34)</f>
        <v>0.1866088529</v>
      </c>
      <c r="I74" s="33">
        <f t="shared" si="44"/>
        <v>0.1731428571</v>
      </c>
      <c r="J74" s="86">
        <f t="shared" ref="J74:K74" si="45">H74-I74</f>
        <v>0.01346599573</v>
      </c>
      <c r="K74" s="33">
        <f t="shared" si="45"/>
        <v>0.1596768614</v>
      </c>
      <c r="M74" s="84"/>
    </row>
    <row r="75" ht="12.0" customHeight="1">
      <c r="B75" s="63" t="s">
        <v>64</v>
      </c>
      <c r="C75" s="24"/>
      <c r="D75" s="24"/>
      <c r="E75" s="24"/>
      <c r="F75" s="24"/>
      <c r="G75" s="31">
        <f t="shared" ref="G75:I75" si="46">+G9*G68</f>
        <v>88.48</v>
      </c>
      <c r="H75" s="31">
        <f t="shared" si="46"/>
        <v>86.9</v>
      </c>
      <c r="I75" s="32">
        <f t="shared" si="46"/>
        <v>63.18</v>
      </c>
      <c r="J75" s="31">
        <f t="shared" ref="J75:J78" si="48">+H75-I75</f>
        <v>23.72</v>
      </c>
      <c r="K75" s="33">
        <f t="shared" ref="K75:K78" si="49">+H75/I75-1</f>
        <v>0.3754352643</v>
      </c>
      <c r="M75" s="84"/>
    </row>
    <row r="76" ht="12.0" customHeight="1">
      <c r="B76" s="63" t="s">
        <v>65</v>
      </c>
      <c r="C76" s="24"/>
      <c r="D76" s="24"/>
      <c r="E76" s="24"/>
      <c r="F76" s="24"/>
      <c r="G76" s="31" t="str">
        <f t="shared" ref="G76:I76" si="47">+G9*G69</f>
        <v>#REF!</v>
      </c>
      <c r="H76" s="31">
        <f t="shared" si="47"/>
        <v>196.9</v>
      </c>
      <c r="I76" s="32">
        <f t="shared" si="47"/>
        <v>157.14</v>
      </c>
      <c r="J76" s="31">
        <f t="shared" si="48"/>
        <v>39.76</v>
      </c>
      <c r="K76" s="33">
        <f t="shared" si="49"/>
        <v>0.2530227822</v>
      </c>
      <c r="M76" s="84"/>
    </row>
    <row r="77" ht="12.0" customHeight="1">
      <c r="B77" s="23" t="s">
        <v>85</v>
      </c>
      <c r="C77" s="24"/>
      <c r="D77" s="24"/>
      <c r="E77" s="24"/>
      <c r="F77" s="24"/>
      <c r="G77" s="31" t="str">
        <f t="shared" ref="G77:I77" si="50">+G72-G76</f>
        <v>#REF!</v>
      </c>
      <c r="H77" s="31">
        <f t="shared" si="50"/>
        <v>-26.62</v>
      </c>
      <c r="I77" s="32">
        <f t="shared" si="50"/>
        <v>0.66</v>
      </c>
      <c r="J77" s="31">
        <f t="shared" si="48"/>
        <v>-27.28</v>
      </c>
      <c r="K77" s="33">
        <f t="shared" si="49"/>
        <v>-41.33333333</v>
      </c>
      <c r="M77" s="84"/>
    </row>
    <row r="78" ht="12.0" customHeight="1">
      <c r="B78" s="42" t="s">
        <v>86</v>
      </c>
      <c r="C78" s="43"/>
      <c r="D78" s="43"/>
      <c r="E78" s="43"/>
      <c r="F78" s="43"/>
      <c r="G78" s="43" t="str">
        <f t="shared" ref="G78:I78" si="51">(G77)/G69</f>
        <v>#REF!</v>
      </c>
      <c r="H78" s="88">
        <f t="shared" si="51"/>
        <v>-0.01487150838</v>
      </c>
      <c r="I78" s="89">
        <f t="shared" si="51"/>
        <v>0.0004536082474</v>
      </c>
      <c r="J78" s="90">
        <f t="shared" si="48"/>
        <v>-0.01532511663</v>
      </c>
      <c r="K78" s="91">
        <f t="shared" si="49"/>
        <v>-33.7849162</v>
      </c>
      <c r="M78" s="84"/>
    </row>
    <row r="79" ht="12.75" customHeight="1">
      <c r="B79" s="9"/>
    </row>
    <row r="80" ht="12.75" customHeight="1">
      <c r="B80" s="92" t="s">
        <v>68</v>
      </c>
      <c r="C80" s="93"/>
      <c r="D80" s="93"/>
      <c r="E80" s="93"/>
      <c r="F80" s="93"/>
      <c r="G80" s="93"/>
      <c r="H80" s="93"/>
      <c r="I80" s="93"/>
    </row>
    <row r="81" ht="12.75" customHeight="1">
      <c r="B81" s="92" t="s">
        <v>87</v>
      </c>
      <c r="C81" s="93"/>
      <c r="D81" s="93"/>
      <c r="E81" s="93"/>
      <c r="F81" s="93"/>
      <c r="G81" s="93"/>
      <c r="H81" s="93"/>
      <c r="I81" s="93"/>
    </row>
    <row r="82" ht="12.75" customHeight="1">
      <c r="B82" s="9" t="s">
        <v>70</v>
      </c>
    </row>
    <row r="83" ht="12.75" customHeight="1">
      <c r="B83" s="76"/>
      <c r="C83" s="77"/>
      <c r="D83" s="77"/>
      <c r="E83" s="77"/>
      <c r="F83" s="77"/>
      <c r="G83" s="78"/>
      <c r="H83" s="79" t="s">
        <v>3</v>
      </c>
      <c r="I83" s="79" t="s">
        <v>56</v>
      </c>
      <c r="J83" s="79" t="s">
        <v>5</v>
      </c>
      <c r="K83" s="79" t="s">
        <v>6</v>
      </c>
    </row>
    <row r="84" ht="12.75" customHeight="1">
      <c r="B84" s="80" t="s">
        <v>88</v>
      </c>
      <c r="C84" s="20"/>
      <c r="D84" s="20"/>
      <c r="E84" s="20"/>
      <c r="F84" s="20"/>
      <c r="G84" s="81">
        <f t="shared" ref="G84:I84" si="52">G50/(G31+G32)</f>
        <v>0.1714297008</v>
      </c>
      <c r="H84" s="94">
        <f t="shared" si="52"/>
        <v>0.1266546128</v>
      </c>
      <c r="I84" s="83">
        <f t="shared" si="52"/>
        <v>0.1402380952</v>
      </c>
      <c r="J84" s="94">
        <f t="shared" ref="J84:J90" si="54">+H84-I84</f>
        <v>-0.01358348241</v>
      </c>
      <c r="K84" s="83">
        <f t="shared" ref="K84:K90" si="55">H84/I84-1</f>
        <v>-0.09686014623</v>
      </c>
    </row>
    <row r="85" ht="12.75" customHeight="1">
      <c r="B85" s="23" t="s">
        <v>89</v>
      </c>
      <c r="C85" s="24"/>
      <c r="D85" s="24"/>
      <c r="E85" s="24"/>
      <c r="F85" s="24"/>
      <c r="G85" s="31">
        <f t="shared" ref="G85:I85" si="53">+G29/G21</f>
        <v>0.5346733668</v>
      </c>
      <c r="H85" s="86">
        <f t="shared" si="53"/>
        <v>0.5346733668</v>
      </c>
      <c r="I85" s="33">
        <f t="shared" si="53"/>
        <v>0.4761904762</v>
      </c>
      <c r="J85" s="86">
        <f t="shared" si="54"/>
        <v>0.05848289064</v>
      </c>
      <c r="K85" s="33">
        <f t="shared" si="55"/>
        <v>0.1228140704</v>
      </c>
    </row>
    <row r="86" ht="12.75" customHeight="1">
      <c r="B86" s="23" t="s">
        <v>90</v>
      </c>
      <c r="C86" s="24"/>
      <c r="D86" s="24"/>
      <c r="E86" s="24"/>
      <c r="F86" s="24"/>
      <c r="G86" s="31">
        <f t="shared" ref="G86:I86" si="56">G19/G27</f>
        <v>3.193548387</v>
      </c>
      <c r="H86" s="86">
        <f t="shared" si="56"/>
        <v>3.193548387</v>
      </c>
      <c r="I86" s="33">
        <f t="shared" si="56"/>
        <v>3.681818182</v>
      </c>
      <c r="J86" s="86">
        <f t="shared" si="54"/>
        <v>-0.4882697947</v>
      </c>
      <c r="K86" s="33">
        <f t="shared" si="55"/>
        <v>-0.1326164875</v>
      </c>
    </row>
    <row r="87" ht="12.75" customHeight="1">
      <c r="B87" s="63" t="s">
        <v>91</v>
      </c>
      <c r="C87" s="24"/>
      <c r="D87" s="24"/>
      <c r="E87" s="24"/>
      <c r="F87" s="24"/>
      <c r="G87" s="31" t="str">
        <f>+#REF!/#REF!</f>
        <v>#REF!</v>
      </c>
      <c r="H87" s="86">
        <f>H19/H28</f>
        <v>1.312997347</v>
      </c>
      <c r="I87" s="33">
        <f>(I24+I25+I26)/I28</f>
        <v>0.3793103448</v>
      </c>
      <c r="J87" s="86">
        <f t="shared" si="54"/>
        <v>0.9336870027</v>
      </c>
      <c r="K87" s="33">
        <f t="shared" si="55"/>
        <v>2.461538462</v>
      </c>
    </row>
    <row r="88" ht="12.75" customHeight="1">
      <c r="B88" s="63" t="s">
        <v>92</v>
      </c>
      <c r="C88" s="24"/>
      <c r="D88" s="24"/>
      <c r="E88" s="24"/>
      <c r="F88" s="24"/>
      <c r="G88" s="31" t="str">
        <f>+#REF!/G33</f>
        <v>#REF!</v>
      </c>
      <c r="H88" s="86">
        <f t="shared" ref="H88:I88" si="57">(H24+H25+H26)/H28</f>
        <v>0.4111405836</v>
      </c>
      <c r="I88" s="33">
        <f t="shared" si="57"/>
        <v>0.3793103448</v>
      </c>
      <c r="J88" s="86">
        <f t="shared" si="54"/>
        <v>0.03183023873</v>
      </c>
      <c r="K88" s="33">
        <f t="shared" si="55"/>
        <v>0.08391608392</v>
      </c>
    </row>
    <row r="89" ht="12.75" customHeight="1">
      <c r="B89" s="63" t="s">
        <v>76</v>
      </c>
      <c r="C89" s="24"/>
      <c r="D89" s="24"/>
      <c r="E89" s="24"/>
      <c r="F89" s="24"/>
      <c r="G89" s="31">
        <f t="shared" ref="G89:I89" si="58">+G50/G33</f>
        <v>0.1714297008</v>
      </c>
      <c r="H89" s="86">
        <f t="shared" si="58"/>
        <v>0.1266546128</v>
      </c>
      <c r="I89" s="33">
        <f t="shared" si="58"/>
        <v>0.1402380952</v>
      </c>
      <c r="J89" s="86">
        <f t="shared" si="54"/>
        <v>-0.01358348241</v>
      </c>
      <c r="K89" s="33">
        <f t="shared" si="55"/>
        <v>-0.09686014623</v>
      </c>
    </row>
    <row r="90" ht="12.75" customHeight="1">
      <c r="B90" s="63" t="s">
        <v>93</v>
      </c>
      <c r="C90" s="24"/>
      <c r="D90" s="24"/>
      <c r="E90" s="24"/>
      <c r="F90" s="24"/>
      <c r="G90" s="31">
        <f t="shared" ref="G90:I90" si="59">+G46/G45</f>
        <v>3.361363636</v>
      </c>
      <c r="H90" s="86">
        <f t="shared" si="59"/>
        <v>2.225</v>
      </c>
      <c r="I90" s="33">
        <f t="shared" si="59"/>
        <v>3.383333333</v>
      </c>
      <c r="J90" s="86">
        <f t="shared" si="54"/>
        <v>-1.158333333</v>
      </c>
      <c r="K90" s="33">
        <f t="shared" si="55"/>
        <v>-0.342364532</v>
      </c>
    </row>
    <row r="91" ht="12.75" customHeight="1">
      <c r="B91" s="63" t="s">
        <v>78</v>
      </c>
      <c r="C91" s="24"/>
      <c r="D91" s="24"/>
      <c r="E91" s="24"/>
      <c r="F91" s="24"/>
      <c r="G91" s="31"/>
      <c r="H91" s="86"/>
      <c r="I91" s="33"/>
      <c r="J91" s="86"/>
      <c r="K91" s="33"/>
      <c r="N91" s="38" t="s">
        <v>94</v>
      </c>
      <c r="P91" s="38" t="s">
        <v>95</v>
      </c>
    </row>
    <row r="92" ht="12.75" customHeight="1">
      <c r="B92" s="63" t="s">
        <v>79</v>
      </c>
      <c r="C92" s="24"/>
      <c r="D92" s="24"/>
      <c r="E92" s="24"/>
      <c r="F92" s="24"/>
      <c r="G92" s="31">
        <f t="shared" ref="G92:I92" si="60">+G48/G40</f>
        <v>0.0572516129</v>
      </c>
      <c r="H92" s="86">
        <f t="shared" si="60"/>
        <v>0.03916</v>
      </c>
      <c r="I92" s="33">
        <f t="shared" si="60"/>
        <v>0.04273684211</v>
      </c>
      <c r="J92" s="86">
        <f>+H92-I92</f>
        <v>-0.003576842105</v>
      </c>
      <c r="K92" s="33">
        <f t="shared" ref="K92:K94" si="62">H92/I92-1</f>
        <v>-0.08369458128</v>
      </c>
      <c r="N92" s="48">
        <f t="shared" ref="N92:N94" si="63">G92-H92</f>
        <v>0.0180916129</v>
      </c>
      <c r="P92" s="48">
        <f t="shared" ref="P92:P94" si="64">G92-I92</f>
        <v>0.0145147708</v>
      </c>
    </row>
    <row r="93" ht="12.75" customHeight="1">
      <c r="B93" s="63" t="s">
        <v>80</v>
      </c>
      <c r="C93" s="24"/>
      <c r="D93" s="24"/>
      <c r="E93" s="24"/>
      <c r="F93" s="24"/>
      <c r="G93" s="31">
        <f t="shared" ref="G93:I93" si="61">+G40/G21</f>
        <v>1.557788945</v>
      </c>
      <c r="H93" s="86">
        <f t="shared" si="61"/>
        <v>1.507537688</v>
      </c>
      <c r="I93" s="33">
        <f t="shared" si="61"/>
        <v>1.696428571</v>
      </c>
      <c r="J93" s="86">
        <f t="shared" ref="J93:J94" si="66">H93-I93</f>
        <v>-0.188890883</v>
      </c>
      <c r="K93" s="33">
        <f t="shared" si="62"/>
        <v>-0.1113462047</v>
      </c>
      <c r="N93" s="48">
        <f t="shared" si="63"/>
        <v>0.05025125628</v>
      </c>
      <c r="P93" s="48">
        <f t="shared" si="64"/>
        <v>-0.1386396267</v>
      </c>
    </row>
    <row r="94" ht="12.75" customHeight="1">
      <c r="B94" s="87" t="s">
        <v>81</v>
      </c>
      <c r="C94" s="43"/>
      <c r="D94" s="43"/>
      <c r="E94" s="43"/>
      <c r="F94" s="43"/>
      <c r="G94" s="43">
        <f t="shared" ref="G94:I94" si="65">+G21/G33</f>
        <v>1.966480889</v>
      </c>
      <c r="H94" s="95">
        <f t="shared" si="65"/>
        <v>2.221031719</v>
      </c>
      <c r="I94" s="91">
        <f t="shared" si="65"/>
        <v>2</v>
      </c>
      <c r="J94" s="95">
        <f t="shared" si="66"/>
        <v>0.2210317195</v>
      </c>
      <c r="K94" s="91">
        <f t="shared" si="62"/>
        <v>0.1105158597</v>
      </c>
      <c r="N94" s="48">
        <f t="shared" si="63"/>
        <v>-0.2545508309</v>
      </c>
      <c r="P94" s="48">
        <f t="shared" si="64"/>
        <v>-0.03351911143</v>
      </c>
    </row>
    <row r="95" ht="12.75" customHeight="1"/>
    <row r="96" ht="12.75" customHeight="1"/>
    <row r="97" ht="12.75" customHeight="1"/>
    <row r="98" ht="12.75" customHeight="1"/>
    <row r="99" ht="12.75" customHeight="1"/>
    <row r="100" ht="12.75" customHeight="1"/>
    <row r="101" ht="12.75" customHeight="1"/>
    <row r="102" ht="12.75" customHeight="1"/>
    <row r="103" ht="12.75" customHeight="1"/>
    <row r="104" ht="12.75" customHeight="1"/>
    <row r="105" ht="12.75" customHeight="1"/>
    <row r="106" ht="12.75" customHeight="1"/>
    <row r="107" ht="12.75" customHeight="1"/>
    <row r="108" ht="12.75" customHeight="1"/>
    <row r="109" ht="12.75" customHeight="1">
      <c r="A109" s="98" t="s">
        <v>96</v>
      </c>
      <c r="B109" s="98"/>
      <c r="C109" s="98"/>
    </row>
    <row r="110" ht="12.75" customHeight="1">
      <c r="A110" s="98" t="s">
        <v>97</v>
      </c>
      <c r="B110" s="98"/>
      <c r="C110" s="98"/>
    </row>
    <row r="111" ht="12.75" customHeight="1">
      <c r="A111" s="38"/>
    </row>
    <row r="112" ht="12.75" customHeight="1">
      <c r="A112" s="96" t="s">
        <v>98</v>
      </c>
    </row>
    <row r="113" ht="12.75" customHeight="1">
      <c r="A113" s="96" t="s">
        <v>99</v>
      </c>
    </row>
    <row r="114" ht="12.75" customHeight="1">
      <c r="A114" s="96" t="s">
        <v>100</v>
      </c>
    </row>
    <row r="115" ht="12.75" customHeight="1">
      <c r="A115" s="96" t="s">
        <v>101</v>
      </c>
    </row>
    <row r="116" ht="12.75" customHeight="1">
      <c r="A116" s="96" t="s">
        <v>102</v>
      </c>
    </row>
    <row r="117" ht="12.75" customHeight="1"/>
    <row r="118" ht="12.75" customHeight="1">
      <c r="A118" s="97" t="s">
        <v>103</v>
      </c>
    </row>
    <row r="119" ht="12.75" customHeight="1">
      <c r="A119" s="96" t="s">
        <v>104</v>
      </c>
    </row>
    <row r="120" ht="12.75" customHeight="1">
      <c r="A120" s="96" t="s">
        <v>105</v>
      </c>
    </row>
    <row r="121" ht="12.75" customHeight="1">
      <c r="A121" s="96" t="s">
        <v>106</v>
      </c>
    </row>
    <row r="122" ht="12.75" customHeight="1">
      <c r="A122" s="96" t="s">
        <v>107</v>
      </c>
    </row>
    <row r="123" ht="12.75" customHeight="1">
      <c r="A123" s="96"/>
    </row>
    <row r="124" ht="12.75" customHeight="1"/>
    <row r="125" ht="12.75" customHeight="1"/>
    <row r="126" ht="12.75" customHeight="1"/>
    <row r="127" ht="12.75" customHeight="1"/>
    <row r="128" ht="12.75" customHeight="1"/>
    <row r="129" ht="12.75" customHeight="1"/>
    <row r="130" ht="12.75" customHeight="1"/>
    <row r="131" ht="12.75" customHeight="1"/>
    <row r="132" ht="12.75" customHeight="1"/>
    <row r="133" ht="12.75" customHeight="1"/>
    <row r="134" ht="12.75" customHeight="1"/>
    <row r="135" ht="12.75" customHeight="1"/>
    <row r="136" ht="12.75" customHeight="1"/>
    <row r="137" ht="12.75" customHeight="1"/>
    <row r="138" ht="12.75" customHeight="1"/>
    <row r="139" ht="12.75" customHeight="1"/>
    <row r="140" ht="12.75" customHeight="1"/>
    <row r="141" ht="12.75" customHeight="1"/>
    <row r="142" ht="12.75" customHeight="1"/>
    <row r="143" ht="12.75" customHeight="1"/>
    <row r="144" ht="12.75" customHeight="1"/>
    <row r="145" ht="12.75" customHeight="1"/>
    <row r="146" ht="12.75" customHeight="1"/>
    <row r="147" ht="12.75" customHeight="1"/>
    <row r="148" ht="12.75" customHeight="1"/>
    <row r="149" ht="12.75" customHeight="1"/>
    <row r="150" ht="12.75" customHeight="1"/>
    <row r="151" ht="12.75" customHeight="1"/>
    <row r="152" ht="12.75" customHeight="1"/>
    <row r="153" ht="12.75" customHeight="1"/>
    <row r="154" ht="12.75" customHeight="1"/>
    <row r="155" ht="12.75" customHeight="1"/>
    <row r="156" ht="12.75" customHeight="1"/>
    <row r="157" ht="12.75" customHeight="1"/>
    <row r="158" ht="12.75" customHeight="1"/>
    <row r="159" ht="12.75" customHeight="1"/>
    <row r="160" ht="12.75" customHeight="1"/>
    <row r="161" ht="12.75" customHeight="1"/>
    <row r="162" ht="12.75" customHeight="1"/>
    <row r="163" ht="12.75" customHeight="1"/>
    <row r="164" ht="12.75" customHeight="1"/>
    <row r="165" ht="12.75" customHeight="1"/>
    <row r="166" ht="12.75" customHeight="1"/>
    <row r="167" ht="12.75" customHeight="1"/>
    <row r="168" ht="12.75" customHeight="1"/>
    <row r="169" ht="12.75" customHeight="1"/>
    <row r="170" ht="12.75" customHeight="1"/>
    <row r="171" ht="12.75" customHeight="1"/>
    <row r="172" ht="12.75" customHeight="1"/>
    <row r="173" ht="12.75" customHeight="1"/>
    <row r="174" ht="12.75" customHeight="1"/>
    <row r="175" ht="12.75" customHeight="1"/>
    <row r="176" ht="12.75" customHeight="1"/>
    <row r="177" ht="12.75" customHeight="1"/>
    <row r="178" ht="12.75" customHeight="1"/>
    <row r="179" ht="12.75" customHeight="1"/>
    <row r="180" ht="12.75" customHeight="1"/>
    <row r="181" ht="12.75" customHeight="1"/>
    <row r="182" ht="12.75" customHeight="1"/>
    <row r="183" ht="12.75" customHeight="1"/>
    <row r="184" ht="12.75" customHeight="1"/>
    <row r="185" ht="12.75" customHeight="1"/>
    <row r="186" ht="12.75" customHeight="1"/>
    <row r="187" ht="12.75" customHeight="1"/>
    <row r="188" ht="12.75" customHeight="1"/>
    <row r="189" ht="12.75" customHeight="1"/>
    <row r="190" ht="12.75" customHeight="1"/>
    <row r="191" ht="12.75" customHeight="1"/>
    <row r="192" ht="12.75" customHeight="1"/>
    <row r="193" ht="12.75" customHeight="1"/>
    <row r="194" ht="12.75" customHeight="1"/>
    <row r="195" ht="12.75" customHeight="1"/>
    <row r="196" ht="12.75" customHeight="1"/>
    <row r="197" ht="12.75" customHeight="1"/>
    <row r="198" ht="12.75" customHeight="1"/>
    <row r="199" ht="12.75" customHeight="1"/>
    <row r="200" ht="12.75" customHeight="1"/>
    <row r="201" ht="12.75" customHeight="1"/>
    <row r="202" ht="12.75" customHeight="1"/>
    <row r="203" ht="12.75" customHeight="1"/>
    <row r="204" ht="12.75" customHeight="1"/>
    <row r="205" ht="12.75" customHeight="1"/>
    <row r="206" ht="12.75" customHeight="1"/>
    <row r="207" ht="12.75" customHeight="1"/>
    <row r="208" ht="12.75" customHeight="1"/>
    <row r="209" ht="12.75" customHeight="1"/>
    <row r="210" ht="12.75" customHeight="1"/>
    <row r="211" ht="12.75" customHeight="1"/>
    <row r="212" ht="12.75" customHeight="1"/>
    <row r="213" ht="12.75" customHeight="1"/>
    <row r="214" ht="12.75" customHeight="1"/>
    <row r="215" ht="12.75" customHeight="1"/>
    <row r="216" ht="12.75" customHeight="1"/>
    <row r="217" ht="12.75" customHeight="1"/>
    <row r="218" ht="12.75" customHeight="1"/>
    <row r="219" ht="12.75" customHeight="1"/>
    <row r="220" ht="12.75" customHeight="1"/>
    <row r="221" ht="12.75" customHeight="1"/>
    <row r="222" ht="12.75" customHeight="1"/>
    <row r="223" ht="12.75" customHeight="1"/>
    <row r="224" ht="12.75" customHeight="1"/>
    <row r="225" ht="12.75" customHeight="1"/>
    <row r="226" ht="12.75" customHeight="1"/>
    <row r="227" ht="12.75" customHeight="1"/>
    <row r="228" ht="12.75" customHeight="1"/>
    <row r="229" ht="12.75" customHeight="1"/>
    <row r="230" ht="12.75" customHeight="1"/>
    <row r="231" ht="12.75" customHeight="1"/>
    <row r="232" ht="12.75" customHeight="1"/>
    <row r="233" ht="12.75" customHeight="1"/>
    <row r="234" ht="12.75" customHeight="1"/>
    <row r="235" ht="12.75" customHeight="1"/>
    <row r="236" ht="12.75" customHeight="1"/>
    <row r="237" ht="12.75" customHeight="1"/>
    <row r="238" ht="12.75" customHeight="1"/>
    <row r="239" ht="12.75" customHeight="1"/>
    <row r="240" ht="12.75" customHeight="1"/>
    <row r="241" ht="12.75" customHeight="1"/>
    <row r="242" ht="12.75" customHeight="1"/>
    <row r="243" ht="12.75" customHeight="1"/>
    <row r="244" ht="12.75" customHeight="1"/>
    <row r="245" ht="12.75" customHeight="1"/>
    <row r="246" ht="12.75" customHeight="1"/>
    <row r="247" ht="12.75" customHeight="1"/>
    <row r="248" ht="12.75" customHeight="1"/>
    <row r="249" ht="12.75" customHeight="1"/>
    <row r="250" ht="12.75" customHeight="1"/>
    <row r="251" ht="12.75" customHeight="1"/>
    <row r="252" ht="12.75" customHeight="1"/>
    <row r="253" ht="12.75" customHeight="1"/>
    <row r="254" ht="12.75" customHeight="1"/>
    <row r="255" ht="12.75" customHeight="1"/>
    <row r="256" ht="12.75" customHeight="1"/>
    <row r="257" ht="12.75" customHeight="1"/>
    <row r="258" ht="12.75" customHeight="1"/>
    <row r="259" ht="12.75" customHeight="1"/>
    <row r="260" ht="12.75" customHeight="1"/>
    <row r="261" ht="12.75" customHeight="1"/>
    <row r="262" ht="12.75" customHeight="1"/>
    <row r="263" ht="12.75" customHeight="1"/>
    <row r="264" ht="12.75" customHeight="1"/>
    <row r="265" ht="12.75" customHeight="1"/>
    <row r="266" ht="12.75" customHeight="1"/>
    <row r="267" ht="12.75" customHeight="1"/>
    <row r="268" ht="12.75" customHeight="1"/>
    <row r="269" ht="12.75" customHeight="1"/>
    <row r="270" ht="12.75" customHeight="1"/>
    <row r="271" ht="12.75" customHeight="1"/>
    <row r="272" ht="12.75" customHeight="1"/>
    <row r="273" ht="12.75" customHeight="1"/>
    <row r="274" ht="12.75" customHeight="1"/>
    <row r="275" ht="12.75" customHeight="1"/>
    <row r="276" ht="12.75" customHeight="1"/>
    <row r="277" ht="12.75" customHeight="1"/>
    <row r="278" ht="12.75" customHeight="1"/>
    <row r="279" ht="12.75" customHeight="1"/>
    <row r="280" ht="12.75" customHeight="1"/>
    <row r="281" ht="12.75" customHeight="1"/>
    <row r="282" ht="12.75" customHeight="1"/>
    <row r="283" ht="12.75" customHeight="1"/>
    <row r="284" ht="12.75" customHeight="1"/>
    <row r="285" ht="12.75" customHeight="1"/>
    <row r="286" ht="12.75" customHeight="1"/>
    <row r="287" ht="12.75" customHeight="1"/>
    <row r="288" ht="12.75" customHeight="1"/>
    <row r="289" ht="12.75" customHeight="1"/>
    <row r="290" ht="12.75" customHeight="1"/>
    <row r="291" ht="12.75" customHeight="1"/>
    <row r="292" ht="12.75" customHeight="1"/>
    <row r="293" ht="12.75" customHeight="1"/>
    <row r="294" ht="12.75" customHeight="1"/>
    <row r="295" ht="12.75" customHeight="1"/>
    <row r="296" ht="12.75" customHeight="1"/>
    <row r="297" ht="12.75" customHeight="1"/>
    <row r="298" ht="12.75" customHeight="1"/>
    <row r="299" ht="12.75" customHeight="1"/>
    <row r="300" ht="12.75" customHeight="1"/>
    <row r="301" ht="12.75" customHeight="1"/>
    <row r="302" ht="12.75" customHeight="1"/>
    <row r="303" ht="12.75" customHeight="1"/>
    <row r="304" ht="12.75" customHeight="1"/>
    <row r="305" ht="12.75" customHeight="1"/>
    <row r="306" ht="12.75" customHeight="1"/>
    <row r="307" ht="12.75" customHeight="1"/>
    <row r="308" ht="12.75" customHeight="1"/>
    <row r="309" ht="12.75" customHeight="1"/>
    <row r="310" ht="12.75" customHeight="1"/>
    <row r="311" ht="12.75" customHeight="1"/>
    <row r="312" ht="12.75" customHeight="1"/>
    <row r="313" ht="12.75" customHeight="1"/>
    <row r="314" ht="12.75" customHeight="1"/>
    <row r="315" ht="12.75" customHeight="1"/>
    <row r="316" ht="12.75" customHeight="1"/>
    <row r="317" ht="12.75" customHeight="1"/>
    <row r="318" ht="12.75" customHeight="1"/>
    <row r="319" ht="12.75" customHeight="1"/>
    <row r="320" ht="12.75" customHeight="1"/>
    <row r="321" ht="12.75" customHeight="1"/>
    <row r="322" ht="12.75" customHeight="1"/>
    <row r="323" ht="12.75" customHeight="1"/>
    <row r="324" ht="12.75" customHeight="1"/>
    <row r="325" ht="12.75" customHeight="1"/>
    <row r="326" ht="12.75" customHeight="1"/>
    <row r="327" ht="12.75" customHeight="1"/>
    <row r="328" ht="12.75" customHeight="1"/>
    <row r="329" ht="12.75" customHeight="1"/>
    <row r="330" ht="12.75" customHeight="1"/>
    <row r="331" ht="12.75" customHeight="1"/>
    <row r="332" ht="12.75" customHeight="1"/>
    <row r="333" ht="12.75" customHeight="1"/>
    <row r="334" ht="12.75" customHeight="1"/>
    <row r="335" ht="12.75" customHeight="1"/>
    <row r="336" ht="12.75" customHeight="1"/>
    <row r="337" ht="12.75" customHeight="1"/>
    <row r="338" ht="12.75" customHeight="1"/>
    <row r="339" ht="12.75" customHeight="1"/>
    <row r="340" ht="12.75" customHeight="1"/>
    <row r="341" ht="12.75" customHeight="1"/>
    <row r="342" ht="12.75" customHeight="1"/>
    <row r="343" ht="12.75" customHeight="1"/>
    <row r="344" ht="12.75" customHeight="1"/>
    <row r="345" ht="12.75" customHeight="1"/>
    <row r="346" ht="12.75" customHeight="1"/>
    <row r="347" ht="12.75" customHeight="1"/>
    <row r="348" ht="12.75" customHeight="1"/>
    <row r="349" ht="12.75" customHeight="1"/>
    <row r="350" ht="12.75" customHeight="1"/>
    <row r="351" ht="12.75" customHeight="1"/>
    <row r="352" ht="12.75" customHeight="1"/>
    <row r="353" ht="12.75" customHeight="1"/>
    <row r="354" ht="12.75" customHeight="1"/>
    <row r="355" ht="12.75" customHeight="1"/>
    <row r="356" ht="12.75" customHeight="1"/>
    <row r="357" ht="12.75" customHeight="1"/>
    <row r="358" ht="12.75" customHeight="1"/>
    <row r="359" ht="12.75" customHeight="1"/>
    <row r="360" ht="12.75" customHeight="1"/>
    <row r="361" ht="12.75" customHeight="1"/>
    <row r="362" ht="12.75" customHeight="1"/>
    <row r="363" ht="12.75" customHeight="1"/>
    <row r="364" ht="12.75" customHeight="1"/>
    <row r="365" ht="12.75" customHeight="1"/>
    <row r="366" ht="12.75" customHeight="1"/>
    <row r="367" ht="12.75" customHeight="1"/>
    <row r="368" ht="12.75" customHeight="1"/>
    <row r="369" ht="12.75" customHeight="1"/>
    <row r="370" ht="12.75" customHeight="1"/>
    <row r="371" ht="12.75" customHeight="1"/>
    <row r="372" ht="12.75" customHeight="1"/>
    <row r="373" ht="12.75" customHeight="1"/>
    <row r="374" ht="12.75" customHeight="1"/>
    <row r="375" ht="12.75" customHeight="1"/>
    <row r="376" ht="12.75" customHeight="1"/>
    <row r="377" ht="12.75" customHeight="1"/>
    <row r="378" ht="12.75" customHeight="1"/>
    <row r="379" ht="12.75" customHeight="1"/>
    <row r="380" ht="12.75" customHeight="1"/>
    <row r="381" ht="12.75" customHeight="1"/>
    <row r="382" ht="12.75" customHeight="1"/>
    <row r="383" ht="12.75" customHeight="1"/>
    <row r="384" ht="12.75" customHeight="1"/>
    <row r="385" ht="12.75" customHeight="1"/>
    <row r="386" ht="12.75" customHeight="1"/>
    <row r="387" ht="12.75" customHeight="1"/>
    <row r="388" ht="12.75" customHeight="1"/>
    <row r="389" ht="12.75" customHeight="1"/>
    <row r="390" ht="12.75" customHeight="1"/>
    <row r="391" ht="12.75" customHeight="1"/>
    <row r="392" ht="12.75" customHeight="1"/>
    <row r="393" ht="12.75" customHeight="1"/>
    <row r="394" ht="12.75" customHeight="1"/>
    <row r="395" ht="12.75" customHeight="1"/>
    <row r="396" ht="12.75" customHeight="1"/>
    <row r="397" ht="12.75" customHeight="1"/>
    <row r="398" ht="12.75" customHeight="1"/>
    <row r="399" ht="12.75" customHeight="1"/>
    <row r="400" ht="12.75" customHeight="1"/>
    <row r="401" ht="12.75" customHeight="1"/>
    <row r="402" ht="12.75" customHeight="1"/>
    <row r="403" ht="12.75" customHeight="1"/>
    <row r="404" ht="12.75" customHeight="1"/>
    <row r="405" ht="12.75" customHeight="1"/>
    <row r="406" ht="12.75" customHeight="1"/>
    <row r="407" ht="12.75" customHeight="1"/>
    <row r="408" ht="12.75" customHeight="1"/>
    <row r="409" ht="12.75" customHeight="1"/>
    <row r="410" ht="12.75" customHeight="1"/>
    <row r="411" ht="12.75" customHeight="1"/>
    <row r="412" ht="12.75" customHeight="1"/>
    <row r="413" ht="12.75" customHeight="1"/>
    <row r="414" ht="12.75" customHeight="1"/>
    <row r="415" ht="12.75" customHeight="1"/>
    <row r="416" ht="12.75" customHeight="1"/>
    <row r="417" ht="12.75" customHeight="1"/>
    <row r="418" ht="12.75" customHeight="1"/>
    <row r="419" ht="12.75" customHeight="1"/>
    <row r="420" ht="12.75" customHeight="1"/>
    <row r="421" ht="12.75" customHeight="1"/>
    <row r="422" ht="12.75" customHeight="1"/>
    <row r="423" ht="12.75" customHeight="1"/>
    <row r="424" ht="12.75" customHeight="1"/>
    <row r="425" ht="12.75" customHeight="1"/>
    <row r="426" ht="12.75" customHeight="1"/>
    <row r="427" ht="12.75" customHeight="1"/>
    <row r="428" ht="12.75" customHeight="1"/>
    <row r="429" ht="12.75" customHeight="1"/>
    <row r="430" ht="12.75" customHeight="1"/>
    <row r="431" ht="12.75" customHeight="1"/>
    <row r="432" ht="12.75" customHeight="1"/>
    <row r="433" ht="12.75" customHeight="1"/>
    <row r="434" ht="12.75" customHeight="1"/>
    <row r="435" ht="12.75" customHeight="1"/>
    <row r="436" ht="12.75" customHeight="1"/>
    <row r="437" ht="12.75" customHeight="1"/>
    <row r="438" ht="12.75" customHeight="1"/>
    <row r="439" ht="12.75" customHeight="1"/>
    <row r="440" ht="12.75" customHeight="1"/>
    <row r="441" ht="12.75" customHeight="1"/>
    <row r="442" ht="12.75" customHeight="1"/>
    <row r="443" ht="12.75" customHeight="1"/>
    <row r="444" ht="12.75" customHeight="1"/>
    <row r="445" ht="12.75" customHeight="1"/>
    <row r="446" ht="12.75" customHeight="1"/>
    <row r="447" ht="12.75" customHeight="1"/>
    <row r="448" ht="12.75" customHeight="1"/>
    <row r="449" ht="12.75" customHeight="1"/>
    <row r="450" ht="12.75" customHeight="1"/>
    <row r="451" ht="12.75" customHeight="1"/>
    <row r="452" ht="12.75" customHeight="1"/>
    <row r="453" ht="12.75" customHeight="1"/>
    <row r="454" ht="12.75" customHeight="1"/>
    <row r="455" ht="12.75" customHeight="1"/>
    <row r="456" ht="12.75" customHeight="1"/>
    <row r="457" ht="12.75" customHeight="1"/>
    <row r="458" ht="12.75" customHeight="1"/>
    <row r="459" ht="12.75" customHeight="1"/>
    <row r="460" ht="12.75" customHeight="1"/>
    <row r="461" ht="12.75" customHeight="1"/>
    <row r="462" ht="12.75" customHeight="1"/>
    <row r="463" ht="12.75" customHeight="1"/>
    <row r="464" ht="12.75" customHeight="1"/>
    <row r="465" ht="12.75" customHeight="1"/>
    <row r="466" ht="12.75" customHeight="1"/>
    <row r="467" ht="12.75" customHeight="1"/>
    <row r="468" ht="12.75" customHeight="1"/>
    <row r="469" ht="12.75" customHeight="1"/>
    <row r="470" ht="12.75" customHeight="1"/>
    <row r="471" ht="12.75" customHeight="1"/>
    <row r="472" ht="12.75" customHeight="1"/>
    <row r="473" ht="12.75" customHeight="1"/>
    <row r="474" ht="12.75" customHeight="1"/>
    <row r="475" ht="12.75" customHeight="1"/>
    <row r="476" ht="12.75" customHeight="1"/>
    <row r="477" ht="12.75" customHeight="1"/>
    <row r="478" ht="12.75" customHeight="1"/>
    <row r="479" ht="12.75" customHeight="1"/>
    <row r="480" ht="12.75" customHeight="1"/>
    <row r="481" ht="12.75" customHeight="1"/>
    <row r="482" ht="12.75" customHeight="1"/>
    <row r="483" ht="12.75" customHeight="1"/>
    <row r="484" ht="12.75" customHeight="1"/>
    <row r="485" ht="12.75" customHeight="1"/>
    <row r="486" ht="12.75" customHeight="1"/>
    <row r="487" ht="12.75" customHeight="1"/>
    <row r="488" ht="12.75" customHeight="1"/>
    <row r="489" ht="12.75" customHeight="1"/>
    <row r="490" ht="12.75" customHeight="1"/>
    <row r="491" ht="12.75" customHeight="1"/>
    <row r="492" ht="12.75" customHeight="1"/>
    <row r="493" ht="12.75" customHeight="1"/>
    <row r="494" ht="12.75" customHeight="1"/>
    <row r="495" ht="12.75" customHeight="1"/>
    <row r="496" ht="12.75" customHeight="1"/>
    <row r="497" ht="12.75" customHeight="1"/>
    <row r="498" ht="12.75" customHeight="1"/>
    <row r="499" ht="12.75" customHeight="1"/>
    <row r="500" ht="12.75" customHeight="1"/>
    <row r="501" ht="12.75" customHeight="1"/>
    <row r="502" ht="12.75" customHeight="1"/>
    <row r="503" ht="12.75" customHeight="1"/>
    <row r="504" ht="12.75" customHeight="1"/>
    <row r="505" ht="12.75" customHeight="1"/>
    <row r="506" ht="12.75" customHeight="1"/>
    <row r="507" ht="12.75" customHeight="1"/>
    <row r="508" ht="12.75" customHeight="1"/>
    <row r="509" ht="12.75" customHeight="1"/>
    <row r="510" ht="12.75" customHeight="1"/>
    <row r="511" ht="12.75" customHeight="1"/>
    <row r="512" ht="12.75" customHeight="1"/>
    <row r="513" ht="12.75" customHeight="1"/>
    <row r="514" ht="12.75" customHeight="1"/>
    <row r="515" ht="12.75" customHeight="1"/>
    <row r="516" ht="12.75" customHeight="1"/>
    <row r="517" ht="12.75" customHeight="1"/>
    <row r="518" ht="12.75" customHeight="1"/>
    <row r="519" ht="12.75" customHeight="1"/>
    <row r="520" ht="12.75" customHeight="1"/>
    <row r="521" ht="12.75" customHeight="1"/>
    <row r="522" ht="12.75" customHeight="1"/>
    <row r="523" ht="12.75" customHeight="1"/>
    <row r="524" ht="12.75" customHeight="1"/>
    <row r="525" ht="12.75" customHeight="1"/>
    <row r="526" ht="12.75" customHeight="1"/>
    <row r="527" ht="12.75" customHeight="1"/>
    <row r="528" ht="12.75" customHeight="1"/>
    <row r="529" ht="12.75" customHeight="1"/>
    <row r="530" ht="12.75" customHeight="1"/>
    <row r="531" ht="12.75" customHeight="1"/>
    <row r="532" ht="12.75" customHeight="1"/>
    <row r="533" ht="12.75" customHeight="1"/>
    <row r="534" ht="12.75" customHeight="1"/>
    <row r="535" ht="12.75" customHeight="1"/>
    <row r="536" ht="12.75" customHeight="1"/>
    <row r="537" ht="12.75" customHeight="1"/>
    <row r="538" ht="12.75" customHeight="1"/>
    <row r="539" ht="12.75" customHeight="1"/>
    <row r="540" ht="12.75" customHeight="1"/>
    <row r="541" ht="12.75" customHeight="1"/>
    <row r="542" ht="12.75" customHeight="1"/>
    <row r="543" ht="12.75" customHeight="1"/>
    <row r="544" ht="12.75" customHeight="1"/>
    <row r="545" ht="12.75" customHeight="1"/>
    <row r="546" ht="12.75" customHeight="1"/>
    <row r="547" ht="12.75" customHeight="1"/>
    <row r="548" ht="12.75" customHeight="1"/>
    <row r="549" ht="12.75" customHeight="1"/>
    <row r="550" ht="12.75" customHeight="1"/>
    <row r="551" ht="12.75" customHeight="1"/>
    <row r="552" ht="12.75" customHeight="1"/>
    <row r="553" ht="12.75" customHeight="1"/>
    <row r="554" ht="12.75" customHeight="1"/>
    <row r="555" ht="12.75" customHeight="1"/>
    <row r="556" ht="12.75" customHeight="1"/>
    <row r="557" ht="12.75" customHeight="1"/>
    <row r="558" ht="12.75" customHeight="1"/>
    <row r="559" ht="12.75" customHeight="1"/>
    <row r="560" ht="12.75" customHeight="1"/>
    <row r="561" ht="12.75" customHeight="1"/>
    <row r="562" ht="12.75" customHeight="1"/>
    <row r="563" ht="12.75" customHeight="1"/>
    <row r="564" ht="12.75" customHeight="1"/>
    <row r="565" ht="12.75" customHeight="1"/>
    <row r="566" ht="12.75" customHeight="1"/>
    <row r="567" ht="12.75" customHeight="1"/>
    <row r="568" ht="12.75" customHeight="1"/>
    <row r="569" ht="12.75" customHeight="1"/>
    <row r="570" ht="12.75" customHeight="1"/>
    <row r="571" ht="12.75" customHeight="1"/>
    <row r="572" ht="12.75" customHeight="1"/>
    <row r="573" ht="12.75" customHeight="1"/>
    <row r="574" ht="12.75" customHeight="1"/>
    <row r="575" ht="12.75" customHeight="1"/>
    <row r="576" ht="12.75" customHeight="1"/>
    <row r="577" ht="12.75" customHeight="1"/>
    <row r="578" ht="12.75" customHeight="1"/>
    <row r="579" ht="12.75" customHeight="1"/>
    <row r="580" ht="12.75" customHeight="1"/>
    <row r="581" ht="12.75" customHeight="1"/>
    <row r="582" ht="12.75" customHeight="1"/>
    <row r="583" ht="12.75" customHeight="1"/>
    <row r="584" ht="12.75" customHeight="1"/>
    <row r="585" ht="12.75" customHeight="1"/>
    <row r="586" ht="12.75" customHeight="1"/>
    <row r="587" ht="12.75" customHeight="1"/>
    <row r="588" ht="12.75" customHeight="1"/>
    <row r="589" ht="12.75" customHeight="1"/>
    <row r="590" ht="12.75" customHeight="1"/>
    <row r="591" ht="12.75" customHeight="1"/>
    <row r="592" ht="12.75" customHeight="1"/>
    <row r="593" ht="12.75" customHeight="1"/>
    <row r="594" ht="12.75" customHeight="1"/>
    <row r="595" ht="12.75" customHeight="1"/>
    <row r="596" ht="12.75" customHeight="1"/>
    <row r="597" ht="12.75" customHeight="1"/>
    <row r="598" ht="12.75" customHeight="1"/>
    <row r="599" ht="12.75" customHeight="1"/>
    <row r="600" ht="12.75" customHeight="1"/>
    <row r="601" ht="12.75" customHeight="1"/>
    <row r="602" ht="12.75" customHeight="1"/>
    <row r="603" ht="12.75" customHeight="1"/>
    <row r="604" ht="12.75" customHeight="1"/>
    <row r="605" ht="12.75" customHeight="1"/>
    <row r="606" ht="12.75" customHeight="1"/>
    <row r="607" ht="12.75" customHeight="1"/>
    <row r="608" ht="12.75" customHeight="1"/>
    <row r="609" ht="12.75" customHeight="1"/>
    <row r="610" ht="12.75" customHeight="1"/>
    <row r="611" ht="12.75" customHeight="1"/>
    <row r="612" ht="12.75" customHeight="1"/>
    <row r="613" ht="12.75" customHeight="1"/>
    <row r="614" ht="12.75" customHeight="1"/>
    <row r="615" ht="12.75" customHeight="1"/>
    <row r="616" ht="12.75" customHeight="1"/>
    <row r="617" ht="12.75" customHeight="1"/>
    <row r="618" ht="12.75" customHeight="1"/>
    <row r="619" ht="12.75" customHeight="1"/>
    <row r="620" ht="12.75" customHeight="1"/>
    <row r="621" ht="12.75" customHeight="1"/>
    <row r="622" ht="12.75" customHeight="1"/>
    <row r="623" ht="12.75" customHeight="1"/>
    <row r="624" ht="12.75" customHeight="1"/>
    <row r="625" ht="12.75" customHeight="1"/>
    <row r="626" ht="12.75" customHeight="1"/>
    <row r="627" ht="12.75" customHeight="1"/>
    <row r="628" ht="12.75" customHeight="1"/>
    <row r="629" ht="12.75" customHeight="1"/>
    <row r="630" ht="12.75" customHeight="1"/>
    <row r="631" ht="12.75" customHeight="1"/>
    <row r="632" ht="12.75" customHeight="1"/>
    <row r="633" ht="12.75" customHeight="1"/>
    <row r="634" ht="12.75" customHeight="1"/>
    <row r="635" ht="12.75" customHeight="1"/>
    <row r="636" ht="12.75" customHeight="1"/>
    <row r="637" ht="12.75" customHeight="1"/>
    <row r="638" ht="12.75" customHeight="1"/>
    <row r="639" ht="12.75" customHeight="1"/>
    <row r="640" ht="12.75" customHeight="1"/>
    <row r="641" ht="12.75" customHeight="1"/>
    <row r="642" ht="12.75" customHeight="1"/>
    <row r="643" ht="12.75" customHeight="1"/>
    <row r="644" ht="12.75" customHeight="1"/>
    <row r="645" ht="12.75" customHeight="1"/>
    <row r="646" ht="12.75" customHeight="1"/>
    <row r="647" ht="12.75" customHeight="1"/>
    <row r="648" ht="12.75" customHeight="1"/>
    <row r="649" ht="12.75" customHeight="1"/>
    <row r="650" ht="12.75" customHeight="1"/>
    <row r="651" ht="12.75" customHeight="1"/>
    <row r="652" ht="12.75" customHeight="1"/>
    <row r="653" ht="12.75" customHeight="1"/>
    <row r="654" ht="12.75" customHeight="1"/>
    <row r="655" ht="12.75" customHeight="1"/>
    <row r="656" ht="12.75" customHeight="1"/>
    <row r="657" ht="12.75" customHeight="1"/>
    <row r="658" ht="12.75" customHeight="1"/>
    <row r="659" ht="12.75" customHeight="1"/>
    <row r="660" ht="12.75" customHeight="1"/>
    <row r="661" ht="12.75" customHeight="1"/>
    <row r="662" ht="12.75" customHeight="1"/>
    <row r="663" ht="12.75" customHeight="1"/>
    <row r="664" ht="12.75" customHeight="1"/>
    <row r="665" ht="12.75" customHeight="1"/>
    <row r="666" ht="12.75" customHeight="1"/>
    <row r="667" ht="12.75" customHeight="1"/>
    <row r="668" ht="12.75" customHeight="1"/>
    <row r="669" ht="12.75" customHeight="1"/>
    <row r="670" ht="12.75" customHeight="1"/>
    <row r="671" ht="12.75" customHeight="1"/>
    <row r="672" ht="12.75" customHeight="1"/>
    <row r="673" ht="12.75" customHeight="1"/>
    <row r="674" ht="12.75" customHeight="1"/>
    <row r="675" ht="12.75" customHeight="1"/>
    <row r="676" ht="12.75" customHeight="1"/>
    <row r="677" ht="12.75" customHeight="1"/>
    <row r="678" ht="12.75" customHeight="1"/>
    <row r="679" ht="12.75" customHeight="1"/>
    <row r="680" ht="12.75" customHeight="1"/>
    <row r="681" ht="12.75" customHeight="1"/>
    <row r="682" ht="12.75" customHeight="1"/>
    <row r="683" ht="12.75" customHeight="1"/>
    <row r="684" ht="12.75" customHeight="1"/>
    <row r="685" ht="12.75" customHeight="1"/>
    <row r="686" ht="12.75" customHeight="1"/>
    <row r="687" ht="12.75" customHeight="1"/>
    <row r="688" ht="12.75" customHeight="1"/>
    <row r="689" ht="12.75" customHeight="1"/>
    <row r="690" ht="12.75" customHeight="1"/>
    <row r="691" ht="12.75" customHeight="1"/>
    <row r="692" ht="12.75" customHeight="1"/>
    <row r="693" ht="12.75" customHeight="1"/>
    <row r="694" ht="12.75" customHeight="1"/>
    <row r="695" ht="12.75" customHeight="1"/>
    <row r="696" ht="12.75" customHeight="1"/>
    <row r="697" ht="12.75" customHeight="1"/>
    <row r="698" ht="12.75" customHeight="1"/>
    <row r="699" ht="12.75" customHeight="1"/>
    <row r="700" ht="12.75" customHeight="1"/>
    <row r="701" ht="12.75" customHeight="1"/>
    <row r="702" ht="12.75" customHeight="1"/>
    <row r="703" ht="12.75" customHeight="1"/>
    <row r="704" ht="12.75" customHeight="1"/>
    <row r="705" ht="12.75" customHeight="1"/>
    <row r="706" ht="12.75" customHeight="1"/>
    <row r="707" ht="12.75" customHeight="1"/>
    <row r="708" ht="12.75" customHeight="1"/>
    <row r="709" ht="12.75" customHeight="1"/>
    <row r="710" ht="12.75" customHeight="1"/>
    <row r="711" ht="12.75" customHeight="1"/>
    <row r="712" ht="12.75" customHeight="1"/>
    <row r="713" ht="12.75" customHeight="1"/>
    <row r="714" ht="12.75" customHeight="1"/>
    <row r="715" ht="12.75" customHeight="1"/>
    <row r="716" ht="12.75" customHeight="1"/>
    <row r="717" ht="12.75" customHeight="1"/>
    <row r="718" ht="12.75" customHeight="1"/>
    <row r="719" ht="12.75" customHeight="1"/>
    <row r="720" ht="12.75" customHeight="1"/>
    <row r="721" ht="12.75" customHeight="1"/>
    <row r="722" ht="12.75" customHeight="1"/>
    <row r="723" ht="12.75" customHeight="1"/>
    <row r="724" ht="12.75" customHeight="1"/>
    <row r="725" ht="12.75" customHeight="1"/>
    <row r="726" ht="12.75" customHeight="1"/>
    <row r="727" ht="12.75" customHeight="1"/>
    <row r="728" ht="12.75" customHeight="1"/>
    <row r="729" ht="12.75" customHeight="1"/>
    <row r="730" ht="12.75" customHeight="1"/>
    <row r="731" ht="12.75" customHeight="1"/>
    <row r="732" ht="12.75" customHeight="1"/>
    <row r="733" ht="12.75" customHeight="1"/>
    <row r="734" ht="12.75" customHeight="1"/>
    <row r="735" ht="12.75" customHeight="1"/>
    <row r="736" ht="12.75" customHeight="1"/>
    <row r="737" ht="12.75" customHeight="1"/>
    <row r="738" ht="12.75" customHeight="1"/>
    <row r="739" ht="12.75" customHeight="1"/>
    <row r="740" ht="12.75" customHeight="1"/>
    <row r="741" ht="12.75" customHeight="1"/>
    <row r="742" ht="12.75" customHeight="1"/>
    <row r="743" ht="12.75" customHeight="1"/>
    <row r="744" ht="12.75" customHeight="1"/>
    <row r="745" ht="12.75" customHeight="1"/>
    <row r="746" ht="12.75" customHeight="1"/>
    <row r="747" ht="12.75" customHeight="1"/>
    <row r="748" ht="12.75" customHeight="1"/>
    <row r="749" ht="12.75" customHeight="1"/>
    <row r="750" ht="12.75" customHeight="1"/>
    <row r="751" ht="12.75" customHeight="1"/>
    <row r="752" ht="12.75" customHeight="1"/>
    <row r="753" ht="12.75" customHeight="1"/>
    <row r="754" ht="12.75" customHeight="1"/>
    <row r="755" ht="12.75" customHeight="1"/>
    <row r="756" ht="12.75" customHeight="1"/>
    <row r="757" ht="12.75" customHeight="1"/>
    <row r="758" ht="12.75" customHeight="1"/>
    <row r="759" ht="12.75" customHeight="1"/>
    <row r="760" ht="12.75" customHeight="1"/>
    <row r="761" ht="12.75" customHeight="1"/>
    <row r="762" ht="12.75" customHeight="1"/>
    <row r="763" ht="12.75" customHeight="1"/>
    <row r="764" ht="12.75" customHeight="1"/>
    <row r="765" ht="12.75" customHeight="1"/>
    <row r="766" ht="12.75" customHeight="1"/>
    <row r="767" ht="12.75" customHeight="1"/>
    <row r="768" ht="12.75" customHeight="1"/>
    <row r="769" ht="12.75" customHeight="1"/>
    <row r="770" ht="12.75" customHeight="1"/>
    <row r="771" ht="12.75" customHeight="1"/>
    <row r="772" ht="12.75" customHeight="1"/>
    <row r="773" ht="12.75" customHeight="1"/>
    <row r="774" ht="12.75" customHeight="1"/>
    <row r="775" ht="12.75" customHeight="1"/>
    <row r="776" ht="12.75" customHeight="1"/>
    <row r="777" ht="12.75" customHeight="1"/>
    <row r="778" ht="12.75" customHeight="1"/>
    <row r="779" ht="12.75" customHeight="1"/>
    <row r="780" ht="12.75" customHeight="1"/>
    <row r="781" ht="12.75" customHeight="1"/>
    <row r="782" ht="12.75" customHeight="1"/>
    <row r="783" ht="12.75" customHeight="1"/>
    <row r="784" ht="12.75" customHeight="1"/>
    <row r="785" ht="12.75" customHeight="1"/>
    <row r="786" ht="12.75" customHeight="1"/>
    <row r="787" ht="12.75" customHeight="1"/>
    <row r="788" ht="12.75" customHeight="1"/>
    <row r="789" ht="12.75" customHeight="1"/>
    <row r="790" ht="12.75" customHeight="1"/>
    <row r="791" ht="12.75" customHeight="1"/>
    <row r="792" ht="12.75" customHeight="1"/>
    <row r="793" ht="12.75" customHeight="1"/>
    <row r="794" ht="12.75" customHeight="1"/>
    <row r="795" ht="12.75" customHeight="1"/>
    <row r="796" ht="12.75" customHeight="1"/>
    <row r="797" ht="12.75" customHeight="1"/>
    <row r="798" ht="12.75" customHeight="1"/>
    <row r="799" ht="12.75" customHeight="1"/>
    <row r="800" ht="12.75" customHeight="1"/>
    <row r="801" ht="12.75" customHeight="1"/>
    <row r="802" ht="12.75" customHeight="1"/>
    <row r="803" ht="12.75" customHeight="1"/>
    <row r="804" ht="12.75" customHeight="1"/>
    <row r="805" ht="12.75" customHeight="1"/>
    <row r="806" ht="12.75" customHeight="1"/>
    <row r="807" ht="12.75" customHeight="1"/>
    <row r="808" ht="12.75" customHeight="1"/>
    <row r="809" ht="12.75" customHeight="1"/>
    <row r="810" ht="12.75" customHeight="1"/>
    <row r="811" ht="12.75" customHeight="1"/>
    <row r="812" ht="12.75" customHeight="1"/>
    <row r="813" ht="12.75" customHeight="1"/>
    <row r="814" ht="12.75" customHeight="1"/>
    <row r="815" ht="12.75" customHeight="1"/>
    <row r="816" ht="12.75" customHeight="1"/>
    <row r="817" ht="12.75" customHeight="1"/>
    <row r="818" ht="12.75" customHeight="1"/>
    <row r="819" ht="12.75" customHeight="1"/>
    <row r="820" ht="12.75" customHeight="1"/>
    <row r="821" ht="12.75" customHeight="1"/>
    <row r="822" ht="12.75" customHeight="1"/>
    <row r="823" ht="12.75" customHeight="1"/>
    <row r="824" ht="12.75" customHeight="1"/>
    <row r="825" ht="12.75" customHeight="1"/>
    <row r="826" ht="12.75" customHeight="1"/>
    <row r="827" ht="12.75" customHeight="1"/>
    <row r="828" ht="12.75" customHeight="1"/>
    <row r="829" ht="12.75" customHeight="1"/>
    <row r="830" ht="12.75" customHeight="1"/>
    <row r="831" ht="12.75" customHeight="1"/>
    <row r="832" ht="12.75" customHeight="1"/>
    <row r="833" ht="12.75" customHeight="1"/>
    <row r="834" ht="12.75" customHeight="1"/>
    <row r="835" ht="12.75" customHeight="1"/>
    <row r="836" ht="12.75" customHeight="1"/>
    <row r="837" ht="12.75" customHeight="1"/>
    <row r="838" ht="12.75" customHeight="1"/>
    <row r="839" ht="12.75" customHeight="1"/>
    <row r="840" ht="12.75" customHeight="1"/>
    <row r="841" ht="12.75" customHeight="1"/>
    <row r="842" ht="12.75" customHeight="1"/>
    <row r="843" ht="12.75" customHeight="1"/>
    <row r="844" ht="12.75" customHeight="1"/>
    <row r="845" ht="12.75" customHeight="1"/>
    <row r="846" ht="12.75" customHeight="1"/>
    <row r="847" ht="12.75" customHeight="1"/>
    <row r="848" ht="12.75" customHeight="1"/>
    <row r="849" ht="12.75" customHeight="1"/>
    <row r="850" ht="12.75" customHeight="1"/>
    <row r="851" ht="12.75" customHeight="1"/>
    <row r="852" ht="12.75" customHeight="1"/>
    <row r="853" ht="12.75" customHeight="1"/>
    <row r="854" ht="12.75" customHeight="1"/>
    <row r="855" ht="12.75" customHeight="1"/>
    <row r="856" ht="12.75" customHeight="1"/>
    <row r="857" ht="12.75" customHeight="1"/>
    <row r="858" ht="12.75" customHeight="1"/>
    <row r="859" ht="12.75" customHeight="1"/>
    <row r="860" ht="12.75" customHeight="1"/>
    <row r="861" ht="12.75" customHeight="1"/>
    <row r="862" ht="12.75" customHeight="1"/>
    <row r="863" ht="12.75" customHeight="1"/>
    <row r="864" ht="12.75" customHeight="1"/>
    <row r="865" ht="12.75" customHeight="1"/>
    <row r="866" ht="12.75" customHeight="1"/>
    <row r="867" ht="12.75" customHeight="1"/>
    <row r="868" ht="12.75" customHeight="1"/>
    <row r="869" ht="12.75" customHeight="1"/>
    <row r="870" ht="12.75" customHeight="1"/>
    <row r="871" ht="12.75" customHeight="1"/>
    <row r="872" ht="12.75" customHeight="1"/>
    <row r="873" ht="12.75" customHeight="1"/>
    <row r="874" ht="12.75" customHeight="1"/>
    <row r="875" ht="12.75" customHeight="1"/>
    <row r="876" ht="12.75" customHeight="1"/>
    <row r="877" ht="12.75" customHeight="1"/>
    <row r="878" ht="12.75" customHeight="1"/>
    <row r="879" ht="12.75" customHeight="1"/>
    <row r="880" ht="12.75" customHeight="1"/>
    <row r="881" ht="12.75" customHeight="1"/>
    <row r="882" ht="12.75" customHeight="1"/>
    <row r="883" ht="12.75" customHeight="1"/>
    <row r="884" ht="12.75" customHeight="1"/>
    <row r="885" ht="12.75" customHeight="1"/>
    <row r="886" ht="12.75" customHeight="1"/>
    <row r="887" ht="12.75" customHeight="1"/>
    <row r="888" ht="12.75" customHeight="1"/>
    <row r="889" ht="12.75" customHeight="1"/>
    <row r="890" ht="12.75" customHeight="1"/>
    <row r="891" ht="12.75" customHeight="1"/>
    <row r="892" ht="12.75" customHeight="1"/>
    <row r="893" ht="12.75" customHeight="1"/>
    <row r="894" ht="12.75" customHeight="1"/>
    <row r="895" ht="12.75" customHeight="1"/>
    <row r="896" ht="12.75" customHeight="1"/>
    <row r="897" ht="12.75" customHeight="1"/>
    <row r="898" ht="12.75" customHeight="1"/>
    <row r="899" ht="12.75" customHeight="1"/>
    <row r="900" ht="12.75" customHeight="1"/>
    <row r="901" ht="12.75" customHeight="1"/>
    <row r="902" ht="12.75" customHeight="1"/>
    <row r="903" ht="12.75" customHeight="1"/>
    <row r="904" ht="12.75" customHeight="1"/>
    <row r="905" ht="12.75" customHeight="1"/>
    <row r="906" ht="12.75" customHeight="1"/>
    <row r="907" ht="12.75" customHeight="1"/>
    <row r="908" ht="12.75" customHeight="1"/>
    <row r="909" ht="12.75" customHeight="1"/>
    <row r="910" ht="12.75" customHeight="1"/>
    <row r="911" ht="12.75" customHeight="1"/>
    <row r="912" ht="12.75" customHeight="1"/>
    <row r="913" ht="12.75" customHeight="1"/>
    <row r="914" ht="12.75" customHeight="1"/>
    <row r="915" ht="12.75" customHeight="1"/>
    <row r="916" ht="12.75" customHeight="1"/>
    <row r="917" ht="12.75" customHeight="1"/>
    <row r="918" ht="12.75" customHeight="1"/>
    <row r="919" ht="12.75" customHeight="1"/>
    <row r="920" ht="12.75" customHeight="1"/>
    <row r="921" ht="12.75" customHeight="1"/>
    <row r="922" ht="12.75" customHeight="1"/>
    <row r="923" ht="12.75" customHeight="1"/>
    <row r="924" ht="12.75" customHeight="1"/>
    <row r="925" ht="12.75" customHeight="1"/>
    <row r="926" ht="12.75" customHeight="1"/>
    <row r="927" ht="12.75" customHeight="1"/>
    <row r="928" ht="12.75" customHeight="1"/>
    <row r="929" ht="12.75" customHeight="1"/>
    <row r="930" ht="12.75" customHeight="1"/>
    <row r="931" ht="12.75" customHeight="1"/>
    <row r="932" ht="12.75" customHeight="1"/>
    <row r="933" ht="12.75" customHeight="1"/>
    <row r="934" ht="12.75" customHeight="1"/>
    <row r="935" ht="12.75" customHeight="1"/>
    <row r="936" ht="12.75" customHeight="1"/>
    <row r="937" ht="12.75" customHeight="1"/>
    <row r="938" ht="12.75" customHeight="1"/>
    <row r="939" ht="12.75" customHeight="1"/>
    <row r="940" ht="12.75" customHeight="1"/>
    <row r="941" ht="12.75" customHeight="1"/>
    <row r="942" ht="12.75" customHeight="1"/>
    <row r="943" ht="12.75" customHeight="1"/>
    <row r="944" ht="12.75" customHeight="1"/>
    <row r="945" ht="12.75" customHeight="1"/>
    <row r="946" ht="12.75" customHeight="1"/>
    <row r="947" ht="12.75" customHeight="1"/>
    <row r="948" ht="12.75" customHeight="1"/>
    <row r="949" ht="12.75" customHeight="1"/>
    <row r="950" ht="12.75" customHeight="1"/>
    <row r="951" ht="12.75" customHeight="1"/>
    <row r="952" ht="12.75" customHeight="1"/>
    <row r="953" ht="12.75" customHeight="1"/>
    <row r="954" ht="12.75" customHeight="1"/>
    <row r="955" ht="12.75" customHeight="1"/>
    <row r="956" ht="12.75" customHeight="1"/>
    <row r="957" ht="12.75" customHeight="1"/>
    <row r="958" ht="12.75" customHeight="1"/>
    <row r="959" ht="12.75" customHeight="1"/>
    <row r="960" ht="12.75" customHeight="1"/>
    <row r="961" ht="12.75" customHeight="1"/>
    <row r="962" ht="12.75" customHeight="1"/>
    <row r="963" ht="12.75" customHeight="1"/>
    <row r="964" ht="12.75" customHeight="1"/>
    <row r="965" ht="12.75" customHeight="1"/>
    <row r="966" ht="12.75" customHeight="1"/>
    <row r="967" ht="12.75" customHeight="1"/>
    <row r="968" ht="12.75" customHeight="1"/>
    <row r="969" ht="12.75" customHeight="1"/>
    <row r="970" ht="12.75" customHeight="1"/>
    <row r="971" ht="12.75" customHeight="1"/>
    <row r="972" ht="12.75" customHeight="1"/>
    <row r="973" ht="12.75" customHeight="1"/>
    <row r="974" ht="12.75" customHeight="1"/>
    <row r="975" ht="12.75" customHeight="1"/>
    <row r="976" ht="12.75" customHeight="1"/>
    <row r="977" ht="12.75" customHeight="1"/>
    <row r="978" ht="12.75" customHeight="1"/>
    <row r="979" ht="12.75" customHeight="1"/>
    <row r="980" ht="12.75" customHeight="1"/>
    <row r="981" ht="12.75" customHeight="1"/>
    <row r="982" ht="12.75" customHeight="1"/>
    <row r="983" ht="12.75" customHeight="1"/>
    <row r="984" ht="12.75" customHeight="1"/>
    <row r="985" ht="12.75" customHeight="1"/>
    <row r="986" ht="12.75" customHeight="1"/>
    <row r="987" ht="12.75" customHeight="1"/>
    <row r="988" ht="12.75" customHeight="1"/>
    <row r="989" ht="12.75" customHeight="1"/>
    <row r="990" ht="12.75" customHeight="1"/>
    <row r="991" ht="12.75" customHeight="1"/>
    <row r="992" ht="12.75" customHeight="1"/>
    <row r="993" ht="12.75" customHeight="1"/>
    <row r="994" ht="12.75" customHeight="1"/>
    <row r="995" ht="12.75" customHeight="1"/>
    <row r="996" ht="12.75" customHeight="1"/>
    <row r="997" ht="12.75" customHeight="1"/>
    <row r="998" ht="12.75" customHeight="1"/>
    <row r="999" ht="12.75" customHeight="1"/>
    <row r="1000" ht="12.75" customHeight="1"/>
  </sheetData>
  <mergeCells count="2">
    <mergeCell ref="B2:I3"/>
    <mergeCell ref="B63:I63"/>
  </mergeCells>
  <printOptions/>
  <pageMargins bottom="0.75" footer="0.0" header="0.0" left="0.7" right="0.7" top="0.75"/>
  <pageSetup orientation="portrait"/>
  <drawing r:id="rId1"/>
</worksheet>
</file>

<file path=xl/worksheets/sheet3.xml><?xml version="1.0" encoding="utf-8"?>
<worksheet xmlns="http://schemas.openxmlformats.org/spreadsheetml/2006/main" xmlns:r="http://schemas.openxmlformats.org/officeDocument/2006/relationships" xmlns:mx="http://schemas.microsoft.com/office/mac/excel/2008/main" xmlns:mc="http://schemas.openxmlformats.org/markup-compatibility/2006" xmlns:mv="urn:schemas-microsoft-com:mac:vml" xmlns:x14="http://schemas.microsoft.com/office/spreadsheetml/2009/9/main" xmlns:x15="http://schemas.microsoft.com/office/spreadsheetml/2010/11/main" xmlns:x14ac="http://schemas.microsoft.com/office/spreadsheetml/2009/9/ac" xmlns:xm="http://schemas.microsoft.com/office/excel/2006/main">
  <sheetPr>
    <pageSetUpPr/>
  </sheetPr>
  <sheetViews>
    <sheetView workbookViewId="0"/>
  </sheetViews>
  <sheetFormatPr customHeight="1" defaultColWidth="12.63" defaultRowHeight="15.0"/>
  <cols>
    <col customWidth="1" min="1" max="1" width="65.63"/>
    <col customWidth="1" min="2" max="26" width="10.63"/>
  </cols>
  <sheetData>
    <row r="1" ht="12.75" customHeight="1">
      <c r="A1" s="99" t="s">
        <v>108</v>
      </c>
      <c r="B1" s="99" t="s">
        <v>3</v>
      </c>
      <c r="C1" s="99" t="s">
        <v>2</v>
      </c>
    </row>
    <row r="2" ht="12.75" customHeight="1">
      <c r="A2" s="99" t="str">
        <f>+ENTREGABLE1!B6</f>
        <v>PRECIO DE LA ACCION A FIN DE AÑO</v>
      </c>
      <c r="B2" s="100">
        <f>+ENTREGABLE1!I6</f>
        <v>26</v>
      </c>
      <c r="C2" s="100">
        <f>+ENTREGABLE1!H6</f>
        <v>23</v>
      </c>
    </row>
    <row r="3" ht="12.75" customHeight="1">
      <c r="A3" s="99" t="str">
        <f>+ENTREGABLE1!B7</f>
        <v>MILLONES DE ACCIONES A FIN DE AÑO</v>
      </c>
      <c r="B3" s="101">
        <f>+ENTREGABLE1!I7</f>
        <v>50</v>
      </c>
      <c r="C3" s="101">
        <f>+ENTREGABLE1!H7</f>
        <v>50</v>
      </c>
    </row>
    <row r="4" ht="12.75" customHeight="1">
      <c r="A4" s="99" t="str">
        <f>+ENTREGABLE1!B8</f>
        <v>TASA DE IMPUESTO A LAS GANACIAS</v>
      </c>
      <c r="B4" s="102">
        <f>+ENTREGABLE1!I8</f>
        <v>0.4</v>
      </c>
      <c r="C4" s="102">
        <f>+ENTREGABLE1!H8</f>
        <v>0.4</v>
      </c>
    </row>
    <row r="5" ht="12.75" customHeight="1">
      <c r="A5" s="99" t="str">
        <f>+ENTREGABLE1!B9</f>
        <v>COSTO PROMEDIO PONDERADO DEL CAPITAL</v>
      </c>
      <c r="B5" s="103">
        <f>+ENTREGABLE1!I9</f>
        <v>0.108</v>
      </c>
      <c r="C5" s="103">
        <f>+ENTREGABLE1!H9</f>
        <v>0.11</v>
      </c>
    </row>
    <row r="6" ht="12.75" customHeight="1">
      <c r="A6" s="99" t="str">
        <f>+ENTREGABLE1!B15</f>
        <v>CAJA</v>
      </c>
      <c r="B6" s="104">
        <f>+ENTREGABLE1!I15</f>
        <v>15</v>
      </c>
      <c r="C6" s="104" t="str">
        <f>+ENTREGABLE1!H15</f>
        <v/>
      </c>
    </row>
    <row r="7" ht="12.75" customHeight="1">
      <c r="A7" s="99" t="str">
        <f>+ENTREGABLE1!B16</f>
        <v>INVERSIONES DE CORTO PLAZO</v>
      </c>
      <c r="B7" s="104">
        <f>+ENTREGABLE1!I16</f>
        <v>65</v>
      </c>
      <c r="C7" s="104">
        <f>+ENTREGABLE1!H16</f>
        <v>0</v>
      </c>
    </row>
    <row r="8" ht="12.75" customHeight="1">
      <c r="A8" s="99" t="str">
        <f>+ENTREGABLE1!B17</f>
        <v>CREDITOS (CUENTAS A COBRAR)</v>
      </c>
      <c r="B8" s="104">
        <f>+ENTREGABLE1!I17</f>
        <v>315</v>
      </c>
      <c r="C8" s="104">
        <f>+ENTREGABLE1!H17</f>
        <v>375</v>
      </c>
    </row>
    <row r="9" ht="12.75" customHeight="1">
      <c r="A9" s="99" t="str">
        <f>+ENTREGABLE1!B18</f>
        <v>INVENTARIOS (BIENES DE CAMBIO)</v>
      </c>
      <c r="B9" s="104">
        <f>+ENTREGABLE1!I18</f>
        <v>415</v>
      </c>
      <c r="C9" s="104">
        <f>+ENTREGABLE1!H18</f>
        <v>615</v>
      </c>
    </row>
    <row r="10" ht="12.75" customHeight="1">
      <c r="A10" s="99" t="str">
        <f>+ENTREGABLE1!B19</f>
        <v>TOTAL DE ACTIVOS CORRIENTES</v>
      </c>
      <c r="B10" s="104">
        <f>+ENTREGABLE1!I19</f>
        <v>810</v>
      </c>
      <c r="C10" s="104">
        <f>+ENTREGABLE1!H19</f>
        <v>990</v>
      </c>
    </row>
    <row r="11" ht="12.75" customHeight="1">
      <c r="A11" s="99" t="str">
        <f>+ENTREGABLE1!B20</f>
        <v>BIENES DE USO NETOS DE AMORTIZACIONES ACUMULADAS</v>
      </c>
      <c r="B11" s="104">
        <f>+ENTREGABLE1!I20</f>
        <v>870</v>
      </c>
      <c r="C11" s="104">
        <f>+ENTREGABLE1!H20</f>
        <v>1000</v>
      </c>
    </row>
    <row r="12" ht="12.75" customHeight="1">
      <c r="A12" s="99" t="str">
        <f>+ENTREGABLE1!B21</f>
        <v>TOTAL DE  ACTIVOS</v>
      </c>
      <c r="B12" s="104">
        <f>+ENTREGABLE1!I21</f>
        <v>1680</v>
      </c>
      <c r="C12" s="104">
        <f>+ENTREGABLE1!H21</f>
        <v>1990</v>
      </c>
    </row>
    <row r="13" ht="12.75" customHeight="1">
      <c r="A13" s="99" t="str">
        <f>+ENTREGABLE1!B24</f>
        <v>DEUDAS COMERCIALES (CUENTAS A PAGAR)</v>
      </c>
      <c r="B13" s="104">
        <f>+ENTREGABLE1!I24</f>
        <v>30</v>
      </c>
      <c r="C13" s="104">
        <f>+ENTREGABLE1!H24</f>
        <v>60</v>
      </c>
    </row>
    <row r="14" ht="12.75" customHeight="1">
      <c r="A14" s="99" t="str">
        <f>+ENTREGABLE1!B25</f>
        <v>DEUDAS FINANCIERAS DE CORTO PLAZO</v>
      </c>
      <c r="B14" s="104">
        <f>+ENTREGABLE1!I25</f>
        <v>60</v>
      </c>
      <c r="C14" s="104">
        <f>+ENTREGABLE1!H25</f>
        <v>110</v>
      </c>
    </row>
    <row r="15" ht="12.75" customHeight="1">
      <c r="A15" s="99" t="str">
        <f>+ENTREGABLE1!B26</f>
        <v>PROVISIONES (ACUMULACIONES)</v>
      </c>
      <c r="B15" s="104">
        <f>+ENTREGABLE1!I26</f>
        <v>130</v>
      </c>
      <c r="C15" s="104">
        <f>+ENTREGABLE1!H26</f>
        <v>140</v>
      </c>
    </row>
    <row r="16" ht="12.75" customHeight="1">
      <c r="A16" s="99" t="str">
        <f>+ENTREGABLE1!B27</f>
        <v>TOTAL DE PASIVOS CORRIENTES</v>
      </c>
      <c r="B16" s="104">
        <f>+ENTREGABLE1!I27</f>
        <v>220</v>
      </c>
      <c r="C16" s="104">
        <f>+ENTREGABLE1!H27</f>
        <v>310</v>
      </c>
    </row>
    <row r="17" ht="12.75" customHeight="1">
      <c r="A17" s="99" t="str">
        <f>+ENTREGABLE1!B28</f>
        <v>PASIVOS DE LARGO PLAZO (BONOS)</v>
      </c>
      <c r="B17" s="104">
        <f>+ENTREGABLE1!I28</f>
        <v>580</v>
      </c>
      <c r="C17" s="104">
        <f>+ENTREGABLE1!H28</f>
        <v>754</v>
      </c>
    </row>
    <row r="18" ht="12.75" customHeight="1">
      <c r="A18" s="99" t="str">
        <f>+ENTREGABLE1!B29</f>
        <v>TOTAL DE PASIVOS</v>
      </c>
      <c r="B18" s="104">
        <f>+ENTREGABLE1!I29</f>
        <v>800</v>
      </c>
      <c r="C18" s="104">
        <f>+ENTREGABLE1!H29</f>
        <v>1064</v>
      </c>
    </row>
    <row r="19" ht="12.75" customHeight="1">
      <c r="A19" s="99" t="str">
        <f>+ENTREGABLE1!B30</f>
        <v>CAPITAL EN ACCIONES PREFERIDAS (400,000 ACCIONES)</v>
      </c>
      <c r="B19" s="104">
        <f>+ENTREGABLE1!I30</f>
        <v>40</v>
      </c>
      <c r="C19" s="104">
        <f>+ENTREGABLE1!H30</f>
        <v>40</v>
      </c>
    </row>
    <row r="20" ht="12.75" customHeight="1">
      <c r="A20" s="99" t="str">
        <f>+ENTREGABLE1!B31</f>
        <v>CAPITAL EN ACCIONES COMUNES (50,000,000 ACCIONES)</v>
      </c>
      <c r="B20" s="104">
        <f>+ENTREGABLE1!I31</f>
        <v>130</v>
      </c>
      <c r="C20" s="104">
        <f>+ENTREGABLE1!H31</f>
        <v>130</v>
      </c>
    </row>
    <row r="21" ht="12.75" customHeight="1">
      <c r="A21" s="99" t="str">
        <f>+ENTREGABLE1!B32</f>
        <v>UTILIDADES ACUMULADAS (RESULTADOS NO ASIGNADOS)</v>
      </c>
      <c r="B21" s="104">
        <f>+ENTREGABLE1!I32</f>
        <v>710</v>
      </c>
      <c r="C21" s="104">
        <f>+ENTREGABLE1!H32</f>
        <v>765.98</v>
      </c>
    </row>
    <row r="22" ht="12.75" customHeight="1">
      <c r="A22" s="99" t="str">
        <f>+ENTREGABLE1!B33</f>
        <v>PATRIMONIO NETO TOTAL</v>
      </c>
      <c r="B22" s="104">
        <f>+ENTREGABLE1!I33</f>
        <v>840</v>
      </c>
      <c r="C22" s="104">
        <f>+ENTREGABLE1!H33</f>
        <v>895.98</v>
      </c>
    </row>
    <row r="23" ht="12.75" customHeight="1">
      <c r="A23" s="99" t="str">
        <f>+ENTREGABLE1!B34</f>
        <v>PASIVOS + PATRIMONIO NETO</v>
      </c>
      <c r="B23" s="104">
        <f>+ENTREGABLE1!I34</f>
        <v>1680</v>
      </c>
      <c r="C23" s="104">
        <f>+ENTREGABLE1!H34</f>
        <v>1999.98</v>
      </c>
    </row>
    <row r="24" ht="12.75" customHeight="1">
      <c r="A24" s="99" t="str">
        <f>+ENTREGABLE1!B40</f>
        <v>VENTAS</v>
      </c>
      <c r="B24" s="105">
        <f>+ENTREGABLE1!I40</f>
        <v>2850</v>
      </c>
      <c r="C24" s="105">
        <f>+ENTREGABLE1!H40</f>
        <v>3000</v>
      </c>
    </row>
    <row r="25" ht="12.75" customHeight="1">
      <c r="A25" s="99" t="str">
        <f>+ENTREGABLE1!B41</f>
        <v>COSTOS OPERATIVOS EXCLUYENDO AMORTIZACIONES</v>
      </c>
      <c r="B25" s="105">
        <f>+ENTREGABLE1!I41</f>
        <v>2497</v>
      </c>
      <c r="C25" s="105">
        <f>+ENTREGABLE1!H41</f>
        <v>2616.2</v>
      </c>
    </row>
    <row r="26" ht="12.75" customHeight="1">
      <c r="A26" s="99" t="str">
        <f>+ENTREGABLE1!B42</f>
        <v>SUBTOTAL EBITDA</v>
      </c>
      <c r="B26" s="105">
        <f>+ENTREGABLE1!I42</f>
        <v>353</v>
      </c>
      <c r="C26" s="105">
        <f>+ENTREGABLE1!H42</f>
        <v>383.8</v>
      </c>
    </row>
    <row r="27" ht="12.75" customHeight="1">
      <c r="A27" s="99" t="str">
        <f>+ENTREGABLE1!B43</f>
        <v>AMORTIZACIONES</v>
      </c>
      <c r="B27" s="105">
        <f>+ENTREGABLE1!I43</f>
        <v>90</v>
      </c>
      <c r="C27" s="105">
        <f>+ENTREGABLE1!H43</f>
        <v>100</v>
      </c>
    </row>
    <row r="28" ht="12.75" customHeight="1">
      <c r="A28" s="99" t="str">
        <f>+ENTREGABLE1!B44</f>
        <v>SUBTOTAL EBIT</v>
      </c>
      <c r="B28" s="105">
        <f>+ENTREGABLE1!I44</f>
        <v>263</v>
      </c>
      <c r="C28" s="105">
        <f>+ENTREGABLE1!H44</f>
        <v>283.8</v>
      </c>
    </row>
    <row r="29" ht="12.75" customHeight="1">
      <c r="A29" s="99" t="str">
        <f>+ENTREGABLE1!B45</f>
        <v>INTERESES PAGADOS</v>
      </c>
      <c r="B29" s="105">
        <f>+ENTREGABLE1!I45</f>
        <v>60</v>
      </c>
      <c r="C29" s="105">
        <f>+ENTREGABLE1!H45</f>
        <v>88</v>
      </c>
    </row>
    <row r="30" ht="12.75" customHeight="1">
      <c r="A30" s="99" t="str">
        <f>+ENTREGABLE1!B46</f>
        <v>SUBTOTAL EBT</v>
      </c>
      <c r="B30" s="105">
        <f>+ENTREGABLE1!I46</f>
        <v>203</v>
      </c>
      <c r="C30" s="105">
        <f>+ENTREGABLE1!H46</f>
        <v>195.8</v>
      </c>
    </row>
    <row r="31" ht="12.75" customHeight="1">
      <c r="A31" s="99" t="str">
        <f>+ENTREGABLE1!B47</f>
        <v>IMPUESTO A LAS GANANCIAS</v>
      </c>
      <c r="B31" s="105">
        <f>+ENTREGABLE1!I47</f>
        <v>81.2</v>
      </c>
      <c r="C31" s="105">
        <f>+ENTREGABLE1!H47</f>
        <v>78.32</v>
      </c>
    </row>
    <row r="32" ht="12.75" customHeight="1">
      <c r="A32" s="99" t="str">
        <f>+ENTREGABLE1!B48</f>
        <v>UTILIDADES ANTES DE RESTAR DIVIDENDOS DE ACCIONES PREFERIDAS</v>
      </c>
      <c r="B32" s="105">
        <f>+ENTREGABLE1!I48</f>
        <v>121.8</v>
      </c>
      <c r="C32" s="105">
        <f>+ENTREGABLE1!H48</f>
        <v>117.48</v>
      </c>
    </row>
    <row r="33" ht="12.75" customHeight="1">
      <c r="A33" s="99" t="str">
        <f>+ENTREGABLE1!B49</f>
        <v>DIVIDENDOS DE ACCIONES PREFERIDAS</v>
      </c>
      <c r="B33" s="105">
        <f>+ENTREGABLE1!I49</f>
        <v>4</v>
      </c>
      <c r="C33" s="105">
        <f>+ENTREGABLE1!H49</f>
        <v>4</v>
      </c>
    </row>
    <row r="34" ht="12.75" customHeight="1">
      <c r="A34" s="99" t="str">
        <f>+ENTREGABLE1!B50</f>
        <v>UTILIDADES DISPONIBLES PARA LOS ACCIONISTAS COMUNES</v>
      </c>
      <c r="B34" s="105">
        <f>+ENTREGABLE1!I50</f>
        <v>117.8</v>
      </c>
      <c r="C34" s="105">
        <f>+ENTREGABLE1!H50</f>
        <v>113.48</v>
      </c>
    </row>
    <row r="35" ht="12.75" customHeight="1">
      <c r="A35" s="99" t="str">
        <f>+ENTREGABLE1!B52</f>
        <v>DIVIDENDOS DE ACCIONES COMUNES</v>
      </c>
      <c r="B35" s="105">
        <f>+ENTREGABLE1!I52</f>
        <v>53</v>
      </c>
      <c r="C35" s="105">
        <f>+ENTREGABLE1!H52</f>
        <v>57.5</v>
      </c>
    </row>
    <row r="36" ht="12.75" customHeight="1">
      <c r="A36" s="99" t="str">
        <f>+ENTREGABLE1!B53</f>
        <v>AGREGADO A LAS UTILIDADES ACUMULADAS</v>
      </c>
      <c r="B36" s="105">
        <f>+ENTREGABLE1!I53</f>
        <v>64.8</v>
      </c>
      <c r="C36" s="105">
        <f>+ENTREGABLE1!H53</f>
        <v>55.98</v>
      </c>
    </row>
    <row r="37" ht="12.75" customHeight="1"/>
    <row r="38" ht="12.75" customHeight="1"/>
    <row r="39" ht="12.75" customHeight="1"/>
    <row r="40" ht="12.75" customHeight="1"/>
    <row r="41" ht="12.75" customHeight="1"/>
    <row r="42" ht="12.75" customHeight="1"/>
    <row r="43" ht="12.75" customHeight="1"/>
    <row r="44" ht="12.75" customHeight="1"/>
    <row r="45" ht="12.75" customHeight="1"/>
    <row r="46" ht="12.75" customHeight="1"/>
    <row r="47" ht="12.75" customHeight="1"/>
    <row r="48" ht="12.75" customHeight="1"/>
    <row r="49" ht="12.75" customHeight="1"/>
    <row r="50" ht="12.75" customHeight="1"/>
    <row r="51" ht="12.75" customHeight="1"/>
    <row r="52" ht="12.75" customHeight="1"/>
    <row r="53" ht="12.75" customHeight="1"/>
    <row r="54" ht="12.75" customHeight="1"/>
    <row r="55" ht="12.75" customHeight="1"/>
    <row r="56" ht="12.75" customHeight="1"/>
    <row r="57" ht="12.75" customHeight="1"/>
    <row r="58" ht="12.75" customHeight="1"/>
    <row r="59" ht="12.75" customHeight="1"/>
    <row r="60" ht="12.75" customHeight="1"/>
    <row r="61" ht="12.75" customHeight="1"/>
    <row r="62" ht="12.75" customHeight="1"/>
    <row r="63" ht="12.75" customHeight="1"/>
    <row r="64" ht="12.75" customHeight="1"/>
    <row r="65" ht="12.75" customHeight="1"/>
    <row r="66" ht="12.75" customHeight="1"/>
    <row r="67" ht="12.75" customHeight="1"/>
    <row r="68" ht="12.75" customHeight="1"/>
    <row r="69" ht="12.75" customHeight="1"/>
    <row r="70" ht="12.75" customHeight="1"/>
    <row r="71" ht="12.75" customHeight="1"/>
    <row r="72" ht="12.75" customHeight="1"/>
    <row r="73" ht="12.75" customHeight="1"/>
    <row r="74" ht="12.75" customHeight="1"/>
    <row r="75" ht="12.75" customHeight="1"/>
    <row r="76" ht="12.75" customHeight="1"/>
    <row r="77" ht="12.75" customHeight="1"/>
    <row r="78" ht="12.75" customHeight="1"/>
    <row r="79" ht="12.75" customHeight="1"/>
    <row r="80" ht="12.75" customHeight="1"/>
    <row r="81" ht="12.75" customHeight="1"/>
    <row r="82" ht="12.75" customHeight="1"/>
    <row r="83" ht="12.75" customHeight="1"/>
    <row r="84" ht="12.75" customHeight="1"/>
    <row r="85" ht="12.75" customHeight="1"/>
    <row r="86" ht="12.75" customHeight="1"/>
    <row r="87" ht="12.75" customHeight="1"/>
    <row r="88" ht="12.75" customHeight="1"/>
    <row r="89" ht="12.75" customHeight="1"/>
    <row r="90" ht="12.75" customHeight="1"/>
    <row r="91" ht="12.75" customHeight="1"/>
    <row r="92" ht="12.75" customHeight="1"/>
    <row r="93" ht="12.75" customHeight="1"/>
    <row r="94" ht="12.75" customHeight="1"/>
    <row r="95" ht="12.75" customHeight="1"/>
    <row r="96" ht="12.75" customHeight="1"/>
    <row r="97" ht="12.75" customHeight="1"/>
    <row r="98" ht="12.75" customHeight="1"/>
    <row r="99" ht="12.75" customHeight="1"/>
    <row r="100" ht="12.75" customHeight="1"/>
    <row r="101" ht="12.75" customHeight="1"/>
    <row r="102" ht="12.75" customHeight="1"/>
    <row r="103" ht="12.75" customHeight="1"/>
    <row r="104" ht="12.75" customHeight="1"/>
    <row r="105" ht="12.75" customHeight="1"/>
    <row r="106" ht="12.75" customHeight="1"/>
    <row r="107" ht="12.75" customHeight="1"/>
    <row r="108" ht="12.75" customHeight="1"/>
    <row r="109" ht="12.75" customHeight="1"/>
    <row r="110" ht="12.75" customHeight="1"/>
    <row r="111" ht="12.75" customHeight="1"/>
    <row r="112" ht="12.75" customHeight="1"/>
    <row r="113" ht="12.75" customHeight="1"/>
    <row r="114" ht="12.75" customHeight="1"/>
    <row r="115" ht="12.75" customHeight="1"/>
    <row r="116" ht="12.75" customHeight="1"/>
    <row r="117" ht="12.75" customHeight="1"/>
    <row r="118" ht="12.75" customHeight="1"/>
    <row r="119" ht="12.75" customHeight="1"/>
    <row r="120" ht="12.75" customHeight="1"/>
    <row r="121" ht="12.75" customHeight="1"/>
    <row r="122" ht="12.75" customHeight="1"/>
    <row r="123" ht="12.75" customHeight="1"/>
    <row r="124" ht="12.75" customHeight="1"/>
    <row r="125" ht="12.75" customHeight="1"/>
    <row r="126" ht="12.75" customHeight="1"/>
    <row r="127" ht="12.75" customHeight="1"/>
    <row r="128" ht="12.75" customHeight="1"/>
    <row r="129" ht="12.75" customHeight="1"/>
    <row r="130" ht="12.75" customHeight="1"/>
    <row r="131" ht="12.75" customHeight="1"/>
    <row r="132" ht="12.75" customHeight="1"/>
    <row r="133" ht="12.75" customHeight="1"/>
    <row r="134" ht="12.75" customHeight="1"/>
    <row r="135" ht="12.75" customHeight="1"/>
    <row r="136" ht="12.75" customHeight="1"/>
    <row r="137" ht="12.75" customHeight="1"/>
    <row r="138" ht="12.75" customHeight="1"/>
    <row r="139" ht="12.75" customHeight="1"/>
    <row r="140" ht="12.75" customHeight="1"/>
    <row r="141" ht="12.75" customHeight="1"/>
    <row r="142" ht="12.75" customHeight="1"/>
    <row r="143" ht="12.75" customHeight="1"/>
    <row r="144" ht="12.75" customHeight="1"/>
    <row r="145" ht="12.75" customHeight="1"/>
    <row r="146" ht="12.75" customHeight="1"/>
    <row r="147" ht="12.75" customHeight="1"/>
    <row r="148" ht="12.75" customHeight="1"/>
    <row r="149" ht="12.75" customHeight="1"/>
    <row r="150" ht="12.75" customHeight="1"/>
    <row r="151" ht="12.75" customHeight="1"/>
    <row r="152" ht="12.75" customHeight="1"/>
    <row r="153" ht="12.75" customHeight="1"/>
    <row r="154" ht="12.75" customHeight="1"/>
    <row r="155" ht="12.75" customHeight="1"/>
    <row r="156" ht="12.75" customHeight="1"/>
    <row r="157" ht="12.75" customHeight="1"/>
    <row r="158" ht="12.75" customHeight="1"/>
    <row r="159" ht="12.75" customHeight="1"/>
    <row r="160" ht="12.75" customHeight="1"/>
    <row r="161" ht="12.75" customHeight="1"/>
    <row r="162" ht="12.75" customHeight="1"/>
    <row r="163" ht="12.75" customHeight="1"/>
    <row r="164" ht="12.75" customHeight="1"/>
    <row r="165" ht="12.75" customHeight="1"/>
    <row r="166" ht="12.75" customHeight="1"/>
    <row r="167" ht="12.75" customHeight="1"/>
    <row r="168" ht="12.75" customHeight="1"/>
    <row r="169" ht="12.75" customHeight="1"/>
    <row r="170" ht="12.75" customHeight="1"/>
    <row r="171" ht="12.75" customHeight="1"/>
    <row r="172" ht="12.75" customHeight="1"/>
    <row r="173" ht="12.75" customHeight="1"/>
    <row r="174" ht="12.75" customHeight="1"/>
    <row r="175" ht="12.75" customHeight="1"/>
    <row r="176" ht="12.75" customHeight="1"/>
    <row r="177" ht="12.75" customHeight="1"/>
    <row r="178" ht="12.75" customHeight="1"/>
    <row r="179" ht="12.75" customHeight="1"/>
    <row r="180" ht="12.75" customHeight="1"/>
    <row r="181" ht="12.75" customHeight="1"/>
    <row r="182" ht="12.75" customHeight="1"/>
    <row r="183" ht="12.75" customHeight="1"/>
    <row r="184" ht="12.75" customHeight="1"/>
    <row r="185" ht="12.75" customHeight="1"/>
    <row r="186" ht="12.75" customHeight="1"/>
    <row r="187" ht="12.75" customHeight="1"/>
    <row r="188" ht="12.75" customHeight="1"/>
    <row r="189" ht="12.75" customHeight="1"/>
    <row r="190" ht="12.75" customHeight="1"/>
    <row r="191" ht="12.75" customHeight="1"/>
    <row r="192" ht="12.75" customHeight="1"/>
    <row r="193" ht="12.75" customHeight="1"/>
    <row r="194" ht="12.75" customHeight="1"/>
    <row r="195" ht="12.75" customHeight="1"/>
    <row r="196" ht="12.75" customHeight="1"/>
    <row r="197" ht="12.75" customHeight="1"/>
    <row r="198" ht="12.75" customHeight="1"/>
    <row r="199" ht="12.75" customHeight="1"/>
    <row r="200" ht="12.75" customHeight="1"/>
    <row r="201" ht="12.75" customHeight="1"/>
    <row r="202" ht="12.75" customHeight="1"/>
    <row r="203" ht="12.75" customHeight="1"/>
    <row r="204" ht="12.75" customHeight="1"/>
    <row r="205" ht="12.75" customHeight="1"/>
    <row r="206" ht="12.75" customHeight="1"/>
    <row r="207" ht="12.75" customHeight="1"/>
    <row r="208" ht="12.75" customHeight="1"/>
    <row r="209" ht="12.75" customHeight="1"/>
    <row r="210" ht="12.75" customHeight="1"/>
    <row r="211" ht="12.75" customHeight="1"/>
    <row r="212" ht="12.75" customHeight="1"/>
    <row r="213" ht="12.75" customHeight="1"/>
    <row r="214" ht="12.75" customHeight="1"/>
    <row r="215" ht="12.75" customHeight="1"/>
    <row r="216" ht="12.75" customHeight="1"/>
    <row r="217" ht="12.75" customHeight="1"/>
    <row r="218" ht="12.75" customHeight="1"/>
    <row r="219" ht="12.75" customHeight="1"/>
    <row r="220" ht="12.75" customHeight="1"/>
    <row r="221" ht="12.75" customHeight="1"/>
    <row r="222" ht="12.75" customHeight="1"/>
    <row r="223" ht="12.75" customHeight="1"/>
    <row r="224" ht="12.75" customHeight="1"/>
    <row r="225" ht="12.75" customHeight="1"/>
    <row r="226" ht="12.75" customHeight="1"/>
    <row r="227" ht="12.75" customHeight="1"/>
    <row r="228" ht="12.75" customHeight="1"/>
    <row r="229" ht="12.75" customHeight="1"/>
    <row r="230" ht="12.75" customHeight="1"/>
    <row r="231" ht="12.75" customHeight="1"/>
    <row r="232" ht="12.75" customHeight="1"/>
    <row r="233" ht="12.75" customHeight="1"/>
    <row r="234" ht="12.75" customHeight="1"/>
    <row r="235" ht="12.75" customHeight="1"/>
    <row r="236" ht="12.75" customHeight="1"/>
    <row r="237" ht="12.75" customHeight="1"/>
    <row r="238" ht="12.75" customHeight="1"/>
    <row r="239" ht="12.75" customHeight="1"/>
    <row r="240" ht="12.75" customHeight="1"/>
    <row r="241" ht="12.75" customHeight="1"/>
    <row r="242" ht="12.75" customHeight="1"/>
    <row r="243" ht="12.75" customHeight="1"/>
    <row r="244" ht="12.75" customHeight="1"/>
    <row r="245" ht="12.75" customHeight="1"/>
    <row r="246" ht="12.75" customHeight="1"/>
    <row r="247" ht="12.75" customHeight="1"/>
    <row r="248" ht="12.75" customHeight="1"/>
    <row r="249" ht="12.75" customHeight="1"/>
    <row r="250" ht="12.75" customHeight="1"/>
    <row r="251" ht="12.75" customHeight="1"/>
    <row r="252" ht="12.75" customHeight="1"/>
    <row r="253" ht="12.75" customHeight="1"/>
    <row r="254" ht="12.75" customHeight="1"/>
    <row r="255" ht="12.75" customHeight="1"/>
    <row r="256" ht="12.75" customHeight="1"/>
    <row r="257" ht="12.75" customHeight="1"/>
    <row r="258" ht="12.75" customHeight="1"/>
    <row r="259" ht="12.75" customHeight="1"/>
    <row r="260" ht="12.75" customHeight="1"/>
    <row r="261" ht="12.75" customHeight="1"/>
    <row r="262" ht="12.75" customHeight="1"/>
    <row r="263" ht="12.75" customHeight="1"/>
    <row r="264" ht="12.75" customHeight="1"/>
    <row r="265" ht="12.75" customHeight="1"/>
    <row r="266" ht="12.75" customHeight="1"/>
    <row r="267" ht="12.75" customHeight="1"/>
    <row r="268" ht="12.75" customHeight="1"/>
    <row r="269" ht="12.75" customHeight="1"/>
    <row r="270" ht="12.75" customHeight="1"/>
    <row r="271" ht="12.75" customHeight="1"/>
    <row r="272" ht="12.75" customHeight="1"/>
    <row r="273" ht="12.75" customHeight="1"/>
    <row r="274" ht="12.75" customHeight="1"/>
    <row r="275" ht="12.75" customHeight="1"/>
    <row r="276" ht="12.75" customHeight="1"/>
    <row r="277" ht="12.75" customHeight="1"/>
    <row r="278" ht="12.75" customHeight="1"/>
    <row r="279" ht="12.75" customHeight="1"/>
    <row r="280" ht="12.75" customHeight="1"/>
    <row r="281" ht="12.75" customHeight="1"/>
    <row r="282" ht="12.75" customHeight="1"/>
    <row r="283" ht="12.75" customHeight="1"/>
    <row r="284" ht="12.75" customHeight="1"/>
    <row r="285" ht="12.75" customHeight="1"/>
    <row r="286" ht="12.75" customHeight="1"/>
    <row r="287" ht="12.75" customHeight="1"/>
    <row r="288" ht="12.75" customHeight="1"/>
    <row r="289" ht="12.75" customHeight="1"/>
    <row r="290" ht="12.75" customHeight="1"/>
    <row r="291" ht="12.75" customHeight="1"/>
    <row r="292" ht="12.75" customHeight="1"/>
    <row r="293" ht="12.75" customHeight="1"/>
    <row r="294" ht="12.75" customHeight="1"/>
    <row r="295" ht="12.75" customHeight="1"/>
    <row r="296" ht="12.75" customHeight="1"/>
    <row r="297" ht="12.75" customHeight="1"/>
    <row r="298" ht="12.75" customHeight="1"/>
    <row r="299" ht="12.75" customHeight="1"/>
    <row r="300" ht="12.75" customHeight="1"/>
    <row r="301" ht="12.75" customHeight="1"/>
    <row r="302" ht="12.75" customHeight="1"/>
    <row r="303" ht="12.75" customHeight="1"/>
    <row r="304" ht="12.75" customHeight="1"/>
    <row r="305" ht="12.75" customHeight="1"/>
    <row r="306" ht="12.75" customHeight="1"/>
    <row r="307" ht="12.75" customHeight="1"/>
    <row r="308" ht="12.75" customHeight="1"/>
    <row r="309" ht="12.75" customHeight="1"/>
    <row r="310" ht="12.75" customHeight="1"/>
    <row r="311" ht="12.75" customHeight="1"/>
    <row r="312" ht="12.75" customHeight="1"/>
    <row r="313" ht="12.75" customHeight="1"/>
    <row r="314" ht="12.75" customHeight="1"/>
    <row r="315" ht="12.75" customHeight="1"/>
    <row r="316" ht="12.75" customHeight="1"/>
    <row r="317" ht="12.75" customHeight="1"/>
    <row r="318" ht="12.75" customHeight="1"/>
    <row r="319" ht="12.75" customHeight="1"/>
    <row r="320" ht="12.75" customHeight="1"/>
    <row r="321" ht="12.75" customHeight="1"/>
    <row r="322" ht="12.75" customHeight="1"/>
    <row r="323" ht="12.75" customHeight="1"/>
    <row r="324" ht="12.75" customHeight="1"/>
    <row r="325" ht="12.75" customHeight="1"/>
    <row r="326" ht="12.75" customHeight="1"/>
    <row r="327" ht="12.75" customHeight="1"/>
    <row r="328" ht="12.75" customHeight="1"/>
    <row r="329" ht="12.75" customHeight="1"/>
    <row r="330" ht="12.75" customHeight="1"/>
    <row r="331" ht="12.75" customHeight="1"/>
    <row r="332" ht="12.75" customHeight="1"/>
    <row r="333" ht="12.75" customHeight="1"/>
    <row r="334" ht="12.75" customHeight="1"/>
    <row r="335" ht="12.75" customHeight="1"/>
    <row r="336" ht="12.75" customHeight="1"/>
    <row r="337" ht="12.75" customHeight="1"/>
    <row r="338" ht="12.75" customHeight="1"/>
    <row r="339" ht="12.75" customHeight="1"/>
    <row r="340" ht="12.75" customHeight="1"/>
    <row r="341" ht="12.75" customHeight="1"/>
    <row r="342" ht="12.75" customHeight="1"/>
    <row r="343" ht="12.75" customHeight="1"/>
    <row r="344" ht="12.75" customHeight="1"/>
    <row r="345" ht="12.75" customHeight="1"/>
    <row r="346" ht="12.75" customHeight="1"/>
    <row r="347" ht="12.75" customHeight="1"/>
    <row r="348" ht="12.75" customHeight="1"/>
    <row r="349" ht="12.75" customHeight="1"/>
    <row r="350" ht="12.75" customHeight="1"/>
    <row r="351" ht="12.75" customHeight="1"/>
    <row r="352" ht="12.75" customHeight="1"/>
    <row r="353" ht="12.75" customHeight="1"/>
    <row r="354" ht="12.75" customHeight="1"/>
    <row r="355" ht="12.75" customHeight="1"/>
    <row r="356" ht="12.75" customHeight="1"/>
    <row r="357" ht="12.75" customHeight="1"/>
    <row r="358" ht="12.75" customHeight="1"/>
    <row r="359" ht="12.75" customHeight="1"/>
    <row r="360" ht="12.75" customHeight="1"/>
    <row r="361" ht="12.75" customHeight="1"/>
    <row r="362" ht="12.75" customHeight="1"/>
    <row r="363" ht="12.75" customHeight="1"/>
    <row r="364" ht="12.75" customHeight="1"/>
    <row r="365" ht="12.75" customHeight="1"/>
    <row r="366" ht="12.75" customHeight="1"/>
    <row r="367" ht="12.75" customHeight="1"/>
    <row r="368" ht="12.75" customHeight="1"/>
    <row r="369" ht="12.75" customHeight="1"/>
    <row r="370" ht="12.75" customHeight="1"/>
    <row r="371" ht="12.75" customHeight="1"/>
    <row r="372" ht="12.75" customHeight="1"/>
    <row r="373" ht="12.75" customHeight="1"/>
    <row r="374" ht="12.75" customHeight="1"/>
    <row r="375" ht="12.75" customHeight="1"/>
    <row r="376" ht="12.75" customHeight="1"/>
    <row r="377" ht="12.75" customHeight="1"/>
    <row r="378" ht="12.75" customHeight="1"/>
    <row r="379" ht="12.75" customHeight="1"/>
    <row r="380" ht="12.75" customHeight="1"/>
    <row r="381" ht="12.75" customHeight="1"/>
    <row r="382" ht="12.75" customHeight="1"/>
    <row r="383" ht="12.75" customHeight="1"/>
    <row r="384" ht="12.75" customHeight="1"/>
    <row r="385" ht="12.75" customHeight="1"/>
    <row r="386" ht="12.75" customHeight="1"/>
    <row r="387" ht="12.75" customHeight="1"/>
    <row r="388" ht="12.75" customHeight="1"/>
    <row r="389" ht="12.75" customHeight="1"/>
    <row r="390" ht="12.75" customHeight="1"/>
    <row r="391" ht="12.75" customHeight="1"/>
    <row r="392" ht="12.75" customHeight="1"/>
    <row r="393" ht="12.75" customHeight="1"/>
    <row r="394" ht="12.75" customHeight="1"/>
    <row r="395" ht="12.75" customHeight="1"/>
    <row r="396" ht="12.75" customHeight="1"/>
    <row r="397" ht="12.75" customHeight="1"/>
    <row r="398" ht="12.75" customHeight="1"/>
    <row r="399" ht="12.75" customHeight="1"/>
    <row r="400" ht="12.75" customHeight="1"/>
    <row r="401" ht="12.75" customHeight="1"/>
    <row r="402" ht="12.75" customHeight="1"/>
    <row r="403" ht="12.75" customHeight="1"/>
    <row r="404" ht="12.75" customHeight="1"/>
    <row r="405" ht="12.75" customHeight="1"/>
    <row r="406" ht="12.75" customHeight="1"/>
    <row r="407" ht="12.75" customHeight="1"/>
    <row r="408" ht="12.75" customHeight="1"/>
    <row r="409" ht="12.75" customHeight="1"/>
    <row r="410" ht="12.75" customHeight="1"/>
    <row r="411" ht="12.75" customHeight="1"/>
    <row r="412" ht="12.75" customHeight="1"/>
    <row r="413" ht="12.75" customHeight="1"/>
    <row r="414" ht="12.75" customHeight="1"/>
    <row r="415" ht="12.75" customHeight="1"/>
    <row r="416" ht="12.75" customHeight="1"/>
    <row r="417" ht="12.75" customHeight="1"/>
    <row r="418" ht="12.75" customHeight="1"/>
    <row r="419" ht="12.75" customHeight="1"/>
    <row r="420" ht="12.75" customHeight="1"/>
    <row r="421" ht="12.75" customHeight="1"/>
    <row r="422" ht="12.75" customHeight="1"/>
    <row r="423" ht="12.75" customHeight="1"/>
    <row r="424" ht="12.75" customHeight="1"/>
    <row r="425" ht="12.75" customHeight="1"/>
    <row r="426" ht="12.75" customHeight="1"/>
    <row r="427" ht="12.75" customHeight="1"/>
    <row r="428" ht="12.75" customHeight="1"/>
    <row r="429" ht="12.75" customHeight="1"/>
    <row r="430" ht="12.75" customHeight="1"/>
    <row r="431" ht="12.75" customHeight="1"/>
    <row r="432" ht="12.75" customHeight="1"/>
    <row r="433" ht="12.75" customHeight="1"/>
    <row r="434" ht="12.75" customHeight="1"/>
    <row r="435" ht="12.75" customHeight="1"/>
    <row r="436" ht="12.75" customHeight="1"/>
    <row r="437" ht="12.75" customHeight="1"/>
    <row r="438" ht="12.75" customHeight="1"/>
    <row r="439" ht="12.75" customHeight="1"/>
    <row r="440" ht="12.75" customHeight="1"/>
    <row r="441" ht="12.75" customHeight="1"/>
    <row r="442" ht="12.75" customHeight="1"/>
    <row r="443" ht="12.75" customHeight="1"/>
    <row r="444" ht="12.75" customHeight="1"/>
    <row r="445" ht="12.75" customHeight="1"/>
    <row r="446" ht="12.75" customHeight="1"/>
    <row r="447" ht="12.75" customHeight="1"/>
    <row r="448" ht="12.75" customHeight="1"/>
    <row r="449" ht="12.75" customHeight="1"/>
    <row r="450" ht="12.75" customHeight="1"/>
    <row r="451" ht="12.75" customHeight="1"/>
    <row r="452" ht="12.75" customHeight="1"/>
    <row r="453" ht="12.75" customHeight="1"/>
    <row r="454" ht="12.75" customHeight="1"/>
    <row r="455" ht="12.75" customHeight="1"/>
    <row r="456" ht="12.75" customHeight="1"/>
    <row r="457" ht="12.75" customHeight="1"/>
    <row r="458" ht="12.75" customHeight="1"/>
    <row r="459" ht="12.75" customHeight="1"/>
    <row r="460" ht="12.75" customHeight="1"/>
    <row r="461" ht="12.75" customHeight="1"/>
    <row r="462" ht="12.75" customHeight="1"/>
    <row r="463" ht="12.75" customHeight="1"/>
    <row r="464" ht="12.75" customHeight="1"/>
    <row r="465" ht="12.75" customHeight="1"/>
    <row r="466" ht="12.75" customHeight="1"/>
    <row r="467" ht="12.75" customHeight="1"/>
    <row r="468" ht="12.75" customHeight="1"/>
    <row r="469" ht="12.75" customHeight="1"/>
    <row r="470" ht="12.75" customHeight="1"/>
    <row r="471" ht="12.75" customHeight="1"/>
    <row r="472" ht="12.75" customHeight="1"/>
    <row r="473" ht="12.75" customHeight="1"/>
    <row r="474" ht="12.75" customHeight="1"/>
    <row r="475" ht="12.75" customHeight="1"/>
    <row r="476" ht="12.75" customHeight="1"/>
    <row r="477" ht="12.75" customHeight="1"/>
    <row r="478" ht="12.75" customHeight="1"/>
    <row r="479" ht="12.75" customHeight="1"/>
    <row r="480" ht="12.75" customHeight="1"/>
    <row r="481" ht="12.75" customHeight="1"/>
    <row r="482" ht="12.75" customHeight="1"/>
    <row r="483" ht="12.75" customHeight="1"/>
    <row r="484" ht="12.75" customHeight="1"/>
    <row r="485" ht="12.75" customHeight="1"/>
    <row r="486" ht="12.75" customHeight="1"/>
    <row r="487" ht="12.75" customHeight="1"/>
    <row r="488" ht="12.75" customHeight="1"/>
    <row r="489" ht="12.75" customHeight="1"/>
    <row r="490" ht="12.75" customHeight="1"/>
    <row r="491" ht="12.75" customHeight="1"/>
    <row r="492" ht="12.75" customHeight="1"/>
    <row r="493" ht="12.75" customHeight="1"/>
    <row r="494" ht="12.75" customHeight="1"/>
    <row r="495" ht="12.75" customHeight="1"/>
    <row r="496" ht="12.75" customHeight="1"/>
    <row r="497" ht="12.75" customHeight="1"/>
    <row r="498" ht="12.75" customHeight="1"/>
    <row r="499" ht="12.75" customHeight="1"/>
    <row r="500" ht="12.75" customHeight="1"/>
    <row r="501" ht="12.75" customHeight="1"/>
    <row r="502" ht="12.75" customHeight="1"/>
    <row r="503" ht="12.75" customHeight="1"/>
    <row r="504" ht="12.75" customHeight="1"/>
    <row r="505" ht="12.75" customHeight="1"/>
    <row r="506" ht="12.75" customHeight="1"/>
    <row r="507" ht="12.75" customHeight="1"/>
    <row r="508" ht="12.75" customHeight="1"/>
    <row r="509" ht="12.75" customHeight="1"/>
    <row r="510" ht="12.75" customHeight="1"/>
    <row r="511" ht="12.75" customHeight="1"/>
    <row r="512" ht="12.75" customHeight="1"/>
    <row r="513" ht="12.75" customHeight="1"/>
    <row r="514" ht="12.75" customHeight="1"/>
    <row r="515" ht="12.75" customHeight="1"/>
    <row r="516" ht="12.75" customHeight="1"/>
    <row r="517" ht="12.75" customHeight="1"/>
    <row r="518" ht="12.75" customHeight="1"/>
    <row r="519" ht="12.75" customHeight="1"/>
    <row r="520" ht="12.75" customHeight="1"/>
    <row r="521" ht="12.75" customHeight="1"/>
    <row r="522" ht="12.75" customHeight="1"/>
    <row r="523" ht="12.75" customHeight="1"/>
    <row r="524" ht="12.75" customHeight="1"/>
    <row r="525" ht="12.75" customHeight="1"/>
    <row r="526" ht="12.75" customHeight="1"/>
    <row r="527" ht="12.75" customHeight="1"/>
    <row r="528" ht="12.75" customHeight="1"/>
    <row r="529" ht="12.75" customHeight="1"/>
    <row r="530" ht="12.75" customHeight="1"/>
    <row r="531" ht="12.75" customHeight="1"/>
    <row r="532" ht="12.75" customHeight="1"/>
    <row r="533" ht="12.75" customHeight="1"/>
    <row r="534" ht="12.75" customHeight="1"/>
    <row r="535" ht="12.75" customHeight="1"/>
    <row r="536" ht="12.75" customHeight="1"/>
    <row r="537" ht="12.75" customHeight="1"/>
    <row r="538" ht="12.75" customHeight="1"/>
    <row r="539" ht="12.75" customHeight="1"/>
    <row r="540" ht="12.75" customHeight="1"/>
    <row r="541" ht="12.75" customHeight="1"/>
    <row r="542" ht="12.75" customHeight="1"/>
    <row r="543" ht="12.75" customHeight="1"/>
    <row r="544" ht="12.75" customHeight="1"/>
    <row r="545" ht="12.75" customHeight="1"/>
    <row r="546" ht="12.75" customHeight="1"/>
    <row r="547" ht="12.75" customHeight="1"/>
    <row r="548" ht="12.75" customHeight="1"/>
    <row r="549" ht="12.75" customHeight="1"/>
    <row r="550" ht="12.75" customHeight="1"/>
    <row r="551" ht="12.75" customHeight="1"/>
    <row r="552" ht="12.75" customHeight="1"/>
    <row r="553" ht="12.75" customHeight="1"/>
    <row r="554" ht="12.75" customHeight="1"/>
    <row r="555" ht="12.75" customHeight="1"/>
    <row r="556" ht="12.75" customHeight="1"/>
    <row r="557" ht="12.75" customHeight="1"/>
    <row r="558" ht="12.75" customHeight="1"/>
    <row r="559" ht="12.75" customHeight="1"/>
    <row r="560" ht="12.75" customHeight="1"/>
    <row r="561" ht="12.75" customHeight="1"/>
    <row r="562" ht="12.75" customHeight="1"/>
    <row r="563" ht="12.75" customHeight="1"/>
    <row r="564" ht="12.75" customHeight="1"/>
    <row r="565" ht="12.75" customHeight="1"/>
    <row r="566" ht="12.75" customHeight="1"/>
    <row r="567" ht="12.75" customHeight="1"/>
    <row r="568" ht="12.75" customHeight="1"/>
    <row r="569" ht="12.75" customHeight="1"/>
    <row r="570" ht="12.75" customHeight="1"/>
    <row r="571" ht="12.75" customHeight="1"/>
    <row r="572" ht="12.75" customHeight="1"/>
    <row r="573" ht="12.75" customHeight="1"/>
    <row r="574" ht="12.75" customHeight="1"/>
    <row r="575" ht="12.75" customHeight="1"/>
    <row r="576" ht="12.75" customHeight="1"/>
    <row r="577" ht="12.75" customHeight="1"/>
    <row r="578" ht="12.75" customHeight="1"/>
    <row r="579" ht="12.75" customHeight="1"/>
    <row r="580" ht="12.75" customHeight="1"/>
    <row r="581" ht="12.75" customHeight="1"/>
    <row r="582" ht="12.75" customHeight="1"/>
    <row r="583" ht="12.75" customHeight="1"/>
    <row r="584" ht="12.75" customHeight="1"/>
    <row r="585" ht="12.75" customHeight="1"/>
    <row r="586" ht="12.75" customHeight="1"/>
    <row r="587" ht="12.75" customHeight="1"/>
    <row r="588" ht="12.75" customHeight="1"/>
    <row r="589" ht="12.75" customHeight="1"/>
    <row r="590" ht="12.75" customHeight="1"/>
    <row r="591" ht="12.75" customHeight="1"/>
    <row r="592" ht="12.75" customHeight="1"/>
    <row r="593" ht="12.75" customHeight="1"/>
    <row r="594" ht="12.75" customHeight="1"/>
    <row r="595" ht="12.75" customHeight="1"/>
    <row r="596" ht="12.75" customHeight="1"/>
    <row r="597" ht="12.75" customHeight="1"/>
    <row r="598" ht="12.75" customHeight="1"/>
    <row r="599" ht="12.75" customHeight="1"/>
    <row r="600" ht="12.75" customHeight="1"/>
    <row r="601" ht="12.75" customHeight="1"/>
    <row r="602" ht="12.75" customHeight="1"/>
    <row r="603" ht="12.75" customHeight="1"/>
    <row r="604" ht="12.75" customHeight="1"/>
    <row r="605" ht="12.75" customHeight="1"/>
    <row r="606" ht="12.75" customHeight="1"/>
    <row r="607" ht="12.75" customHeight="1"/>
    <row r="608" ht="12.75" customHeight="1"/>
    <row r="609" ht="12.75" customHeight="1"/>
    <row r="610" ht="12.75" customHeight="1"/>
    <row r="611" ht="12.75" customHeight="1"/>
    <row r="612" ht="12.75" customHeight="1"/>
    <row r="613" ht="12.75" customHeight="1"/>
    <row r="614" ht="12.75" customHeight="1"/>
    <row r="615" ht="12.75" customHeight="1"/>
    <row r="616" ht="12.75" customHeight="1"/>
    <row r="617" ht="12.75" customHeight="1"/>
    <row r="618" ht="12.75" customHeight="1"/>
    <row r="619" ht="12.75" customHeight="1"/>
    <row r="620" ht="12.75" customHeight="1"/>
    <row r="621" ht="12.75" customHeight="1"/>
    <row r="622" ht="12.75" customHeight="1"/>
    <row r="623" ht="12.75" customHeight="1"/>
    <row r="624" ht="12.75" customHeight="1"/>
    <row r="625" ht="12.75" customHeight="1"/>
    <row r="626" ht="12.75" customHeight="1"/>
    <row r="627" ht="12.75" customHeight="1"/>
    <row r="628" ht="12.75" customHeight="1"/>
    <row r="629" ht="12.75" customHeight="1"/>
    <row r="630" ht="12.75" customHeight="1"/>
    <row r="631" ht="12.75" customHeight="1"/>
    <row r="632" ht="12.75" customHeight="1"/>
    <row r="633" ht="12.75" customHeight="1"/>
    <row r="634" ht="12.75" customHeight="1"/>
    <row r="635" ht="12.75" customHeight="1"/>
    <row r="636" ht="12.75" customHeight="1"/>
    <row r="637" ht="12.75" customHeight="1"/>
    <row r="638" ht="12.75" customHeight="1"/>
    <row r="639" ht="12.75" customHeight="1"/>
    <row r="640" ht="12.75" customHeight="1"/>
    <row r="641" ht="12.75" customHeight="1"/>
    <row r="642" ht="12.75" customHeight="1"/>
    <row r="643" ht="12.75" customHeight="1"/>
    <row r="644" ht="12.75" customHeight="1"/>
    <row r="645" ht="12.75" customHeight="1"/>
    <row r="646" ht="12.75" customHeight="1"/>
    <row r="647" ht="12.75" customHeight="1"/>
    <row r="648" ht="12.75" customHeight="1"/>
    <row r="649" ht="12.75" customHeight="1"/>
    <row r="650" ht="12.75" customHeight="1"/>
    <row r="651" ht="12.75" customHeight="1"/>
    <row r="652" ht="12.75" customHeight="1"/>
    <row r="653" ht="12.75" customHeight="1"/>
    <row r="654" ht="12.75" customHeight="1"/>
    <row r="655" ht="12.75" customHeight="1"/>
    <row r="656" ht="12.75" customHeight="1"/>
    <row r="657" ht="12.75" customHeight="1"/>
    <row r="658" ht="12.75" customHeight="1"/>
    <row r="659" ht="12.75" customHeight="1"/>
    <row r="660" ht="12.75" customHeight="1"/>
    <row r="661" ht="12.75" customHeight="1"/>
    <row r="662" ht="12.75" customHeight="1"/>
    <row r="663" ht="12.75" customHeight="1"/>
    <row r="664" ht="12.75" customHeight="1"/>
    <row r="665" ht="12.75" customHeight="1"/>
    <row r="666" ht="12.75" customHeight="1"/>
    <row r="667" ht="12.75" customHeight="1"/>
    <row r="668" ht="12.75" customHeight="1"/>
    <row r="669" ht="12.75" customHeight="1"/>
    <row r="670" ht="12.75" customHeight="1"/>
    <row r="671" ht="12.75" customHeight="1"/>
    <row r="672" ht="12.75" customHeight="1"/>
    <row r="673" ht="12.75" customHeight="1"/>
    <row r="674" ht="12.75" customHeight="1"/>
    <row r="675" ht="12.75" customHeight="1"/>
    <row r="676" ht="12.75" customHeight="1"/>
    <row r="677" ht="12.75" customHeight="1"/>
    <row r="678" ht="12.75" customHeight="1"/>
    <row r="679" ht="12.75" customHeight="1"/>
    <row r="680" ht="12.75" customHeight="1"/>
    <row r="681" ht="12.75" customHeight="1"/>
    <row r="682" ht="12.75" customHeight="1"/>
    <row r="683" ht="12.75" customHeight="1"/>
    <row r="684" ht="12.75" customHeight="1"/>
    <row r="685" ht="12.75" customHeight="1"/>
    <row r="686" ht="12.75" customHeight="1"/>
    <row r="687" ht="12.75" customHeight="1"/>
    <row r="688" ht="12.75" customHeight="1"/>
    <row r="689" ht="12.75" customHeight="1"/>
    <row r="690" ht="12.75" customHeight="1"/>
    <row r="691" ht="12.75" customHeight="1"/>
    <row r="692" ht="12.75" customHeight="1"/>
    <row r="693" ht="12.75" customHeight="1"/>
    <row r="694" ht="12.75" customHeight="1"/>
    <row r="695" ht="12.75" customHeight="1"/>
    <row r="696" ht="12.75" customHeight="1"/>
    <row r="697" ht="12.75" customHeight="1"/>
    <row r="698" ht="12.75" customHeight="1"/>
    <row r="699" ht="12.75" customHeight="1"/>
    <row r="700" ht="12.75" customHeight="1"/>
    <row r="701" ht="12.75" customHeight="1"/>
    <row r="702" ht="12.75" customHeight="1"/>
    <row r="703" ht="12.75" customHeight="1"/>
    <row r="704" ht="12.75" customHeight="1"/>
    <row r="705" ht="12.75" customHeight="1"/>
    <row r="706" ht="12.75" customHeight="1"/>
    <row r="707" ht="12.75" customHeight="1"/>
    <row r="708" ht="12.75" customHeight="1"/>
    <row r="709" ht="12.75" customHeight="1"/>
    <row r="710" ht="12.75" customHeight="1"/>
    <row r="711" ht="12.75" customHeight="1"/>
    <row r="712" ht="12.75" customHeight="1"/>
    <row r="713" ht="12.75" customHeight="1"/>
    <row r="714" ht="12.75" customHeight="1"/>
    <row r="715" ht="12.75" customHeight="1"/>
    <row r="716" ht="12.75" customHeight="1"/>
    <row r="717" ht="12.75" customHeight="1"/>
    <row r="718" ht="12.75" customHeight="1"/>
    <row r="719" ht="12.75" customHeight="1"/>
    <row r="720" ht="12.75" customHeight="1"/>
    <row r="721" ht="12.75" customHeight="1"/>
    <row r="722" ht="12.75" customHeight="1"/>
    <row r="723" ht="12.75" customHeight="1"/>
    <row r="724" ht="12.75" customHeight="1"/>
    <row r="725" ht="12.75" customHeight="1"/>
    <row r="726" ht="12.75" customHeight="1"/>
    <row r="727" ht="12.75" customHeight="1"/>
    <row r="728" ht="12.75" customHeight="1"/>
    <row r="729" ht="12.75" customHeight="1"/>
    <row r="730" ht="12.75" customHeight="1"/>
    <row r="731" ht="12.75" customHeight="1"/>
    <row r="732" ht="12.75" customHeight="1"/>
    <row r="733" ht="12.75" customHeight="1"/>
    <row r="734" ht="12.75" customHeight="1"/>
    <row r="735" ht="12.75" customHeight="1"/>
    <row r="736" ht="12.75" customHeight="1"/>
    <row r="737" ht="12.75" customHeight="1"/>
    <row r="738" ht="12.75" customHeight="1"/>
    <row r="739" ht="12.75" customHeight="1"/>
    <row r="740" ht="12.75" customHeight="1"/>
    <row r="741" ht="12.75" customHeight="1"/>
    <row r="742" ht="12.75" customHeight="1"/>
    <row r="743" ht="12.75" customHeight="1"/>
    <row r="744" ht="12.75" customHeight="1"/>
    <row r="745" ht="12.75" customHeight="1"/>
    <row r="746" ht="12.75" customHeight="1"/>
    <row r="747" ht="12.75" customHeight="1"/>
    <row r="748" ht="12.75" customHeight="1"/>
    <row r="749" ht="12.75" customHeight="1"/>
    <row r="750" ht="12.75" customHeight="1"/>
    <row r="751" ht="12.75" customHeight="1"/>
    <row r="752" ht="12.75" customHeight="1"/>
    <row r="753" ht="12.75" customHeight="1"/>
    <row r="754" ht="12.75" customHeight="1"/>
    <row r="755" ht="12.75" customHeight="1"/>
    <row r="756" ht="12.75" customHeight="1"/>
    <row r="757" ht="12.75" customHeight="1"/>
    <row r="758" ht="12.75" customHeight="1"/>
    <row r="759" ht="12.75" customHeight="1"/>
    <row r="760" ht="12.75" customHeight="1"/>
    <row r="761" ht="12.75" customHeight="1"/>
    <row r="762" ht="12.75" customHeight="1"/>
    <row r="763" ht="12.75" customHeight="1"/>
    <row r="764" ht="12.75" customHeight="1"/>
    <row r="765" ht="12.75" customHeight="1"/>
    <row r="766" ht="12.75" customHeight="1"/>
    <row r="767" ht="12.75" customHeight="1"/>
    <row r="768" ht="12.75" customHeight="1"/>
    <row r="769" ht="12.75" customHeight="1"/>
    <row r="770" ht="12.75" customHeight="1"/>
    <row r="771" ht="12.75" customHeight="1"/>
    <row r="772" ht="12.75" customHeight="1"/>
    <row r="773" ht="12.75" customHeight="1"/>
    <row r="774" ht="12.75" customHeight="1"/>
    <row r="775" ht="12.75" customHeight="1"/>
    <row r="776" ht="12.75" customHeight="1"/>
    <row r="777" ht="12.75" customHeight="1"/>
    <row r="778" ht="12.75" customHeight="1"/>
    <row r="779" ht="12.75" customHeight="1"/>
    <row r="780" ht="12.75" customHeight="1"/>
    <row r="781" ht="12.75" customHeight="1"/>
    <row r="782" ht="12.75" customHeight="1"/>
    <row r="783" ht="12.75" customHeight="1"/>
    <row r="784" ht="12.75" customHeight="1"/>
    <row r="785" ht="12.75" customHeight="1"/>
    <row r="786" ht="12.75" customHeight="1"/>
    <row r="787" ht="12.75" customHeight="1"/>
    <row r="788" ht="12.75" customHeight="1"/>
    <row r="789" ht="12.75" customHeight="1"/>
    <row r="790" ht="12.75" customHeight="1"/>
    <row r="791" ht="12.75" customHeight="1"/>
    <row r="792" ht="12.75" customHeight="1"/>
    <row r="793" ht="12.75" customHeight="1"/>
    <row r="794" ht="12.75" customHeight="1"/>
    <row r="795" ht="12.75" customHeight="1"/>
    <row r="796" ht="12.75" customHeight="1"/>
    <row r="797" ht="12.75" customHeight="1"/>
    <row r="798" ht="12.75" customHeight="1"/>
    <row r="799" ht="12.75" customHeight="1"/>
    <row r="800" ht="12.75" customHeight="1"/>
    <row r="801" ht="12.75" customHeight="1"/>
    <row r="802" ht="12.75" customHeight="1"/>
    <row r="803" ht="12.75" customHeight="1"/>
    <row r="804" ht="12.75" customHeight="1"/>
    <row r="805" ht="12.75" customHeight="1"/>
    <row r="806" ht="12.75" customHeight="1"/>
    <row r="807" ht="12.75" customHeight="1"/>
    <row r="808" ht="12.75" customHeight="1"/>
    <row r="809" ht="12.75" customHeight="1"/>
    <row r="810" ht="12.75" customHeight="1"/>
    <row r="811" ht="12.75" customHeight="1"/>
    <row r="812" ht="12.75" customHeight="1"/>
    <row r="813" ht="12.75" customHeight="1"/>
    <row r="814" ht="12.75" customHeight="1"/>
    <row r="815" ht="12.75" customHeight="1"/>
    <row r="816" ht="12.75" customHeight="1"/>
    <row r="817" ht="12.75" customHeight="1"/>
    <row r="818" ht="12.75" customHeight="1"/>
    <row r="819" ht="12.75" customHeight="1"/>
    <row r="820" ht="12.75" customHeight="1"/>
    <row r="821" ht="12.75" customHeight="1"/>
    <row r="822" ht="12.75" customHeight="1"/>
    <row r="823" ht="12.75" customHeight="1"/>
    <row r="824" ht="12.75" customHeight="1"/>
    <row r="825" ht="12.75" customHeight="1"/>
    <row r="826" ht="12.75" customHeight="1"/>
    <row r="827" ht="12.75" customHeight="1"/>
    <row r="828" ht="12.75" customHeight="1"/>
    <row r="829" ht="12.75" customHeight="1"/>
    <row r="830" ht="12.75" customHeight="1"/>
    <row r="831" ht="12.75" customHeight="1"/>
    <row r="832" ht="12.75" customHeight="1"/>
    <row r="833" ht="12.75" customHeight="1"/>
    <row r="834" ht="12.75" customHeight="1"/>
    <row r="835" ht="12.75" customHeight="1"/>
    <row r="836" ht="12.75" customHeight="1"/>
    <row r="837" ht="12.75" customHeight="1"/>
    <row r="838" ht="12.75" customHeight="1"/>
    <row r="839" ht="12.75" customHeight="1"/>
    <row r="840" ht="12.75" customHeight="1"/>
    <row r="841" ht="12.75" customHeight="1"/>
    <row r="842" ht="12.75" customHeight="1"/>
    <row r="843" ht="12.75" customHeight="1"/>
    <row r="844" ht="12.75" customHeight="1"/>
    <row r="845" ht="12.75" customHeight="1"/>
    <row r="846" ht="12.75" customHeight="1"/>
    <row r="847" ht="12.75" customHeight="1"/>
    <row r="848" ht="12.75" customHeight="1"/>
    <row r="849" ht="12.75" customHeight="1"/>
    <row r="850" ht="12.75" customHeight="1"/>
    <row r="851" ht="12.75" customHeight="1"/>
    <row r="852" ht="12.75" customHeight="1"/>
    <row r="853" ht="12.75" customHeight="1"/>
    <row r="854" ht="12.75" customHeight="1"/>
    <row r="855" ht="12.75" customHeight="1"/>
    <row r="856" ht="12.75" customHeight="1"/>
    <row r="857" ht="12.75" customHeight="1"/>
    <row r="858" ht="12.75" customHeight="1"/>
    <row r="859" ht="12.75" customHeight="1"/>
    <row r="860" ht="12.75" customHeight="1"/>
    <row r="861" ht="12.75" customHeight="1"/>
    <row r="862" ht="12.75" customHeight="1"/>
    <row r="863" ht="12.75" customHeight="1"/>
    <row r="864" ht="12.75" customHeight="1"/>
    <row r="865" ht="12.75" customHeight="1"/>
    <row r="866" ht="12.75" customHeight="1"/>
    <row r="867" ht="12.75" customHeight="1"/>
    <row r="868" ht="12.75" customHeight="1"/>
    <row r="869" ht="12.75" customHeight="1"/>
    <row r="870" ht="12.75" customHeight="1"/>
    <row r="871" ht="12.75" customHeight="1"/>
    <row r="872" ht="12.75" customHeight="1"/>
    <row r="873" ht="12.75" customHeight="1"/>
    <row r="874" ht="12.75" customHeight="1"/>
    <row r="875" ht="12.75" customHeight="1"/>
    <row r="876" ht="12.75" customHeight="1"/>
    <row r="877" ht="12.75" customHeight="1"/>
    <row r="878" ht="12.75" customHeight="1"/>
    <row r="879" ht="12.75" customHeight="1"/>
    <row r="880" ht="12.75" customHeight="1"/>
    <row r="881" ht="12.75" customHeight="1"/>
    <row r="882" ht="12.75" customHeight="1"/>
    <row r="883" ht="12.75" customHeight="1"/>
    <row r="884" ht="12.75" customHeight="1"/>
    <row r="885" ht="12.75" customHeight="1"/>
    <row r="886" ht="12.75" customHeight="1"/>
    <row r="887" ht="12.75" customHeight="1"/>
    <row r="888" ht="12.75" customHeight="1"/>
    <row r="889" ht="12.75" customHeight="1"/>
    <row r="890" ht="12.75" customHeight="1"/>
    <row r="891" ht="12.75" customHeight="1"/>
    <row r="892" ht="12.75" customHeight="1"/>
    <row r="893" ht="12.75" customHeight="1"/>
    <row r="894" ht="12.75" customHeight="1"/>
    <row r="895" ht="12.75" customHeight="1"/>
    <row r="896" ht="12.75" customHeight="1"/>
    <row r="897" ht="12.75" customHeight="1"/>
    <row r="898" ht="12.75" customHeight="1"/>
    <row r="899" ht="12.75" customHeight="1"/>
    <row r="900" ht="12.75" customHeight="1"/>
    <row r="901" ht="12.75" customHeight="1"/>
    <row r="902" ht="12.75" customHeight="1"/>
    <row r="903" ht="12.75" customHeight="1"/>
    <row r="904" ht="12.75" customHeight="1"/>
    <row r="905" ht="12.75" customHeight="1"/>
    <row r="906" ht="12.75" customHeight="1"/>
    <row r="907" ht="12.75" customHeight="1"/>
    <row r="908" ht="12.75" customHeight="1"/>
    <row r="909" ht="12.75" customHeight="1"/>
    <row r="910" ht="12.75" customHeight="1"/>
    <row r="911" ht="12.75" customHeight="1"/>
    <row r="912" ht="12.75" customHeight="1"/>
    <row r="913" ht="12.75" customHeight="1"/>
    <row r="914" ht="12.75" customHeight="1"/>
    <row r="915" ht="12.75" customHeight="1"/>
    <row r="916" ht="12.75" customHeight="1"/>
    <row r="917" ht="12.75" customHeight="1"/>
    <row r="918" ht="12.75" customHeight="1"/>
    <row r="919" ht="12.75" customHeight="1"/>
    <row r="920" ht="12.75" customHeight="1"/>
    <row r="921" ht="12.75" customHeight="1"/>
    <row r="922" ht="12.75" customHeight="1"/>
    <row r="923" ht="12.75" customHeight="1"/>
    <row r="924" ht="12.75" customHeight="1"/>
    <row r="925" ht="12.75" customHeight="1"/>
    <row r="926" ht="12.75" customHeight="1"/>
    <row r="927" ht="12.75" customHeight="1"/>
    <row r="928" ht="12.75" customHeight="1"/>
    <row r="929" ht="12.75" customHeight="1"/>
    <row r="930" ht="12.75" customHeight="1"/>
    <row r="931" ht="12.75" customHeight="1"/>
    <row r="932" ht="12.75" customHeight="1"/>
    <row r="933" ht="12.75" customHeight="1"/>
    <row r="934" ht="12.75" customHeight="1"/>
    <row r="935" ht="12.75" customHeight="1"/>
    <row r="936" ht="12.75" customHeight="1"/>
    <row r="937" ht="12.75" customHeight="1"/>
    <row r="938" ht="12.75" customHeight="1"/>
    <row r="939" ht="12.75" customHeight="1"/>
    <row r="940" ht="12.75" customHeight="1"/>
    <row r="941" ht="12.75" customHeight="1"/>
    <row r="942" ht="12.75" customHeight="1"/>
    <row r="943" ht="12.75" customHeight="1"/>
    <row r="944" ht="12.75" customHeight="1"/>
    <row r="945" ht="12.75" customHeight="1"/>
    <row r="946" ht="12.75" customHeight="1"/>
    <row r="947" ht="12.75" customHeight="1"/>
    <row r="948" ht="12.75" customHeight="1"/>
    <row r="949" ht="12.75" customHeight="1"/>
    <row r="950" ht="12.75" customHeight="1"/>
    <row r="951" ht="12.75" customHeight="1"/>
    <row r="952" ht="12.75" customHeight="1"/>
    <row r="953" ht="12.75" customHeight="1"/>
    <row r="954" ht="12.75" customHeight="1"/>
    <row r="955" ht="12.75" customHeight="1"/>
    <row r="956" ht="12.75" customHeight="1"/>
    <row r="957" ht="12.75" customHeight="1"/>
    <row r="958" ht="12.75" customHeight="1"/>
    <row r="959" ht="12.75" customHeight="1"/>
    <row r="960" ht="12.75" customHeight="1"/>
    <row r="961" ht="12.75" customHeight="1"/>
    <row r="962" ht="12.75" customHeight="1"/>
    <row r="963" ht="12.75" customHeight="1"/>
    <row r="964" ht="12.75" customHeight="1"/>
    <row r="965" ht="12.75" customHeight="1"/>
    <row r="966" ht="12.75" customHeight="1"/>
    <row r="967" ht="12.75" customHeight="1"/>
    <row r="968" ht="12.75" customHeight="1"/>
    <row r="969" ht="12.75" customHeight="1"/>
    <row r="970" ht="12.75" customHeight="1"/>
    <row r="971" ht="12.75" customHeight="1"/>
    <row r="972" ht="12.75" customHeight="1"/>
    <row r="973" ht="12.75" customHeight="1"/>
    <row r="974" ht="12.75" customHeight="1"/>
    <row r="975" ht="12.75" customHeight="1"/>
    <row r="976" ht="12.75" customHeight="1"/>
    <row r="977" ht="12.75" customHeight="1"/>
    <row r="978" ht="12.75" customHeight="1"/>
    <row r="979" ht="12.75" customHeight="1"/>
    <row r="980" ht="12.75" customHeight="1"/>
    <row r="981" ht="12.75" customHeight="1"/>
    <row r="982" ht="12.75" customHeight="1"/>
    <row r="983" ht="12.75" customHeight="1"/>
    <row r="984" ht="12.75" customHeight="1"/>
    <row r="985" ht="12.75" customHeight="1"/>
    <row r="986" ht="12.75" customHeight="1"/>
    <row r="987" ht="12.75" customHeight="1"/>
    <row r="988" ht="12.75" customHeight="1"/>
    <row r="989" ht="12.75" customHeight="1"/>
    <row r="990" ht="12.75" customHeight="1"/>
    <row r="991" ht="12.75" customHeight="1"/>
    <row r="992" ht="12.75" customHeight="1"/>
    <row r="993" ht="12.75" customHeight="1"/>
    <row r="994" ht="12.75" customHeight="1"/>
    <row r="995" ht="12.75" customHeight="1"/>
    <row r="996" ht="12.75" customHeight="1"/>
    <row r="997" ht="12.75" customHeight="1"/>
    <row r="998" ht="12.75" customHeight="1"/>
    <row r="999" ht="12.75" customHeight="1"/>
    <row r="1000" ht="12.75" customHeight="1"/>
  </sheetData>
  <printOptions/>
  <pageMargins bottom="0.75" footer="0.0" header="0.0" left="0.7" right="0.7" top="0.75"/>
  <pageSetup orientation="landscape"/>
  <drawing r:id="rId1"/>
</worksheet>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erms:created xsi:type="dcterms:W3CDTF">1999-05-21T04:40:53Z</dcterms:created>
  <dc:creator>Esteban Yañez</dc:creator>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
    <vt:lpwstr>Documento</vt:lpwstr>
  </property>
</Properties>
</file>