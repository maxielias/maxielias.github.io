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/>
  <workbookPr/>
  <mc:AlternateContent xmlns:mc="http://schemas.openxmlformats.org/markup-compatibility/2006">
    <mc:Choice Requires="x15">
      <x15ac:absPath xmlns:x15ac="http://schemas.microsoft.com/office/spreadsheetml/2010/11/ac" url="I:\Mi unidad\ITBA\Management &amp; Analytics\Finanzas y Gestión\Clase 2\"/>
    </mc:Choice>
  </mc:AlternateContent>
  <xr:revisionPtr revIDLastSave="0" documentId="13_ncr:1_{130E3606-877A-4B62-9A74-19F71E5A42FC}" xr6:coauthVersionLast="47" xr6:coauthVersionMax="47" xr10:uidLastSave="{00000000-0000-0000-0000-000000000000}"/>
  <bookViews>
    <workbookView xWindow="-25320" yWindow="615" windowWidth="25440" windowHeight="15390" activeTab="1" xr2:uid="{00000000-000D-0000-FFFF-FFFF00000000}"/>
  </bookViews>
  <sheets>
    <sheet name="ENTREGABLE 2" sheetId="3" r:id="rId1"/>
    <sheet name="Cuotas y Componentes" sheetId="4" r:id="rId2"/>
  </sheets>
  <definedNames>
    <definedName name="taxtab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4" l="1"/>
  <c r="E17" i="4"/>
  <c r="C17" i="4"/>
  <c r="C18" i="4"/>
  <c r="E16" i="4"/>
  <c r="D16" i="4"/>
  <c r="B17" i="4"/>
  <c r="B18" i="4"/>
  <c r="B16" i="4"/>
  <c r="B11" i="4"/>
  <c r="D12" i="4"/>
  <c r="B12" i="4" s="1"/>
  <c r="D13" i="4"/>
  <c r="B13" i="4" s="1"/>
  <c r="D11" i="4"/>
  <c r="C7" i="4"/>
  <c r="C8" i="4"/>
  <c r="C6" i="4"/>
  <c r="E7" i="4" s="1"/>
  <c r="D7" i="4" s="1"/>
  <c r="D6" i="4"/>
  <c r="B6" i="4" s="1"/>
  <c r="E8" i="4" l="1"/>
  <c r="D8" i="4" s="1"/>
  <c r="B8" i="4"/>
  <c r="B7" i="4"/>
  <c r="C16" i="4"/>
</calcChain>
</file>

<file path=xl/sharedStrings.xml><?xml version="1.0" encoding="utf-8"?>
<sst xmlns="http://schemas.openxmlformats.org/spreadsheetml/2006/main" count="41" uniqueCount="37">
  <si>
    <t xml:space="preserve">Investigue que otros métodos de devolución de préstamos además del francés podrían </t>
  </si>
  <si>
    <t>En todos los casos resuelva la determinación de las cuotas y sus componentes para 3 cuotas</t>
  </si>
  <si>
    <t>ENTREGABLE 2</t>
  </si>
  <si>
    <r>
      <t>encontrarse en los mercados. (Se sugiere</t>
    </r>
    <r>
      <rPr>
        <b/>
        <sz val="22"/>
        <color rgb="FFFF0000"/>
        <rFont val="Arial"/>
        <family val="2"/>
      </rPr>
      <t xml:space="preserve"> alemán, bullet,y  directo</t>
    </r>
    <r>
      <rPr>
        <b/>
        <sz val="22"/>
        <rFont val="Arial"/>
        <family val="2"/>
      </rPr>
      <t xml:space="preserve">) </t>
    </r>
  </si>
  <si>
    <t>utilice una tasa sobre saldos del 10% por periodo en todos los casos. Préstamo= 1000$</t>
  </si>
  <si>
    <t>Comente sus hallazgos.</t>
  </si>
  <si>
    <t>pero con inflaciones de 6,34%, 7,46%, y 6,25% por período en cada período.</t>
  </si>
  <si>
    <t xml:space="preserve">Resuelva el ejemplo presentado en clase ( Préstamo Francés, 3 cuotas, tasa 10% por período) </t>
  </si>
  <si>
    <t>PARTE 1</t>
  </si>
  <si>
    <t>PARTE 2</t>
  </si>
  <si>
    <t xml:space="preserve"> Use el formato del anexo del ppt de clase</t>
  </si>
  <si>
    <t>Aleman</t>
  </si>
  <si>
    <t>Sistema</t>
  </si>
  <si>
    <t>Cuotas</t>
  </si>
  <si>
    <t>Amortización de Capital</t>
  </si>
  <si>
    <t>Interés</t>
  </si>
  <si>
    <t>Americano</t>
  </si>
  <si>
    <t>Directo</t>
  </si>
  <si>
    <t>Amortización de capital + interés</t>
  </si>
  <si>
    <t>Préstamo / Cantidad de cuotas</t>
  </si>
  <si>
    <t>Tasa x saldo al final del período anterior</t>
  </si>
  <si>
    <t>Interés x n-1 + Capital total + interés</t>
  </si>
  <si>
    <t>Total en la última cuota</t>
  </si>
  <si>
    <t>Tasa x capital total prestado</t>
  </si>
  <si>
    <t>Préstamo x (1 / cantidad de cuotas + tasa)</t>
  </si>
  <si>
    <t>Préstamo</t>
  </si>
  <si>
    <t>Tasa</t>
  </si>
  <si>
    <t>P1</t>
  </si>
  <si>
    <t>P2</t>
  </si>
  <si>
    <t>P3</t>
  </si>
  <si>
    <t>Saldo anterior</t>
  </si>
  <si>
    <t>P2 (Interés)</t>
  </si>
  <si>
    <t>P1 (Interés)</t>
  </si>
  <si>
    <t>P3 (Interés + Capital)</t>
  </si>
  <si>
    <t>Préstamo - Interés / Cantidad de cuotas</t>
  </si>
  <si>
    <r>
      <t>Tasa x capital total prestado por cantidad de cuotas</t>
    </r>
    <r>
      <rPr>
        <b/>
        <sz val="10"/>
        <rFont val="Arial"/>
        <family val="2"/>
      </rPr>
      <t xml:space="preserve"> (Interés Total)</t>
    </r>
  </si>
  <si>
    <t>Interés de cuota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</si>
</sst>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10"/>
      <name val="Arial"/>
      <family val="2"/>
    </font>
    <font>
      <sz val="10"/>
      <name val="Arial Black"/>
      <family val="2"/>
    </font>
    <font>
      <b/>
      <sz val="22"/>
      <name val="Arial"/>
      <family val="2"/>
    </font>
    <font>
      <b/>
      <sz val="22"/>
      <color rgb="FFFF0000"/>
      <name val="Arial"/>
      <family val="2"/>
    </font>
    <font>
      <sz val="22"/>
      <name val="Arial Black"/>
      <family val="2"/>
    </font>
    <font>
      <b/>
      <sz val="10"/>
      <name val="Arial"/>
      <family val="2"/>
    </font>
    <font>
      <b/>
      <sz val="10"/>
      <name val="Arial Black"/>
      <family val="2"/>
    </font>
    <font>
      <b/>
      <sz val="22"/>
      <name val="Arial Black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0" xfId="0" applyFont="1"/>
    <xf numFmtId="0" fontId="3" fillId="0" borderId="6" xfId="0" applyFont="1" applyBorder="1"/>
    <xf numFmtId="0" fontId="3" fillId="0" borderId="8" xfId="0" applyFont="1" applyBorder="1"/>
    <xf numFmtId="0" fontId="3" fillId="0" borderId="1" xfId="0" applyFont="1" applyBorder="1"/>
    <xf numFmtId="0" fontId="3" fillId="0" borderId="7" xfId="0" applyFont="1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2" fillId="0" borderId="0" xfId="0" applyFont="1" applyAlignment="1">
      <alignment horizontal="center"/>
    </xf>
    <xf numFmtId="0" fontId="7" fillId="0" borderId="0" xfId="0" applyFont="1"/>
    <xf numFmtId="0" fontId="5" fillId="0" borderId="0" xfId="0" applyFont="1"/>
    <xf numFmtId="0" fontId="8" fillId="0" borderId="0" xfId="0" applyFont="1"/>
    <xf numFmtId="0" fontId="6" fillId="0" borderId="1" xfId="0" applyFont="1" applyBorder="1"/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6" fillId="0" borderId="0" xfId="0" applyFont="1"/>
    <xf numFmtId="9" fontId="0" fillId="0" borderId="0" xfId="0" applyNumberFormat="1"/>
    <xf numFmtId="2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8"/>
  <sheetViews>
    <sheetView topLeftCell="A4" workbookViewId="0">
      <selection activeCell="A13" sqref="A13"/>
    </sheetView>
  </sheetViews>
  <sheetFormatPr baseColWidth="10" defaultRowHeight="12.75" x14ac:dyDescent="0.2"/>
  <sheetData>
    <row r="1" spans="1:17" x14ac:dyDescent="0.2">
      <c r="A1" s="1"/>
    </row>
    <row r="4" spans="1:17" ht="13.5" thickBot="1" x14ac:dyDescent="0.25"/>
    <row r="5" spans="1:17" x14ac:dyDescent="0.2">
      <c r="A5" s="21" t="s">
        <v>2</v>
      </c>
      <c r="B5" s="22"/>
      <c r="C5" s="22"/>
      <c r="D5" s="22"/>
      <c r="E5" s="22"/>
      <c r="F5" s="22"/>
      <c r="G5" s="23"/>
    </row>
    <row r="6" spans="1:17" ht="13.5" thickBot="1" x14ac:dyDescent="0.25">
      <c r="A6" s="24"/>
      <c r="B6" s="25"/>
      <c r="C6" s="25"/>
      <c r="D6" s="25"/>
      <c r="E6" s="25"/>
      <c r="F6" s="25"/>
      <c r="G6" s="26"/>
    </row>
    <row r="7" spans="1:17" ht="15" x14ac:dyDescent="0.3">
      <c r="A7" s="16"/>
      <c r="B7" s="16"/>
      <c r="C7" s="16"/>
      <c r="D7" s="16"/>
      <c r="E7" s="16"/>
      <c r="F7" s="16"/>
      <c r="G7" s="16"/>
    </row>
    <row r="8" spans="1:17" ht="34.5" thickBot="1" x14ac:dyDescent="0.7">
      <c r="A8" s="18" t="s">
        <v>8</v>
      </c>
      <c r="B8" s="17"/>
    </row>
    <row r="9" spans="1:17" ht="27.75" x14ac:dyDescent="0.4">
      <c r="A9" s="2" t="s">
        <v>0</v>
      </c>
      <c r="B9" s="3"/>
      <c r="C9" s="3"/>
      <c r="D9" s="3"/>
      <c r="E9" s="3"/>
      <c r="F9" s="3"/>
      <c r="G9" s="4"/>
      <c r="H9" s="11"/>
      <c r="I9" s="11"/>
      <c r="J9" s="11"/>
      <c r="K9" s="11"/>
      <c r="L9" s="11"/>
      <c r="M9" s="11"/>
      <c r="N9" s="11"/>
      <c r="O9" s="11"/>
      <c r="P9" s="11"/>
      <c r="Q9" s="12"/>
    </row>
    <row r="10" spans="1:17" ht="27.75" x14ac:dyDescent="0.4">
      <c r="A10" s="5" t="s">
        <v>3</v>
      </c>
      <c r="B10" s="6"/>
      <c r="C10" s="6"/>
      <c r="D10" s="6"/>
      <c r="E10" s="6"/>
      <c r="F10" s="6"/>
      <c r="G10" s="7"/>
      <c r="Q10" s="13"/>
    </row>
    <row r="11" spans="1:17" ht="27.75" x14ac:dyDescent="0.4">
      <c r="A11" s="5" t="s">
        <v>5</v>
      </c>
      <c r="B11" s="6"/>
      <c r="C11" s="6"/>
      <c r="D11" s="6"/>
      <c r="E11" s="6"/>
      <c r="F11" s="6"/>
      <c r="G11" s="7"/>
      <c r="Q11" s="13"/>
    </row>
    <row r="12" spans="1:17" ht="27.75" x14ac:dyDescent="0.4">
      <c r="A12" s="5" t="s">
        <v>1</v>
      </c>
      <c r="B12" s="6"/>
      <c r="C12" s="6"/>
      <c r="D12" s="6"/>
      <c r="E12" s="6"/>
      <c r="F12" s="6"/>
      <c r="G12" s="7"/>
      <c r="Q12" s="13"/>
    </row>
    <row r="13" spans="1:17" ht="28.5" thickBot="1" x14ac:dyDescent="0.45">
      <c r="A13" s="8" t="s">
        <v>4</v>
      </c>
      <c r="B13" s="9"/>
      <c r="C13" s="9"/>
      <c r="D13" s="9"/>
      <c r="E13" s="9"/>
      <c r="F13" s="9"/>
      <c r="G13" s="10"/>
      <c r="H13" s="14"/>
      <c r="I13" s="14"/>
      <c r="J13" s="14"/>
      <c r="K13" s="14"/>
      <c r="L13" s="14"/>
      <c r="M13" s="14"/>
      <c r="N13" s="14"/>
      <c r="O13" s="14"/>
      <c r="P13" s="14"/>
      <c r="Q13" s="15"/>
    </row>
    <row r="14" spans="1:17" ht="27.75" x14ac:dyDescent="0.4">
      <c r="A14" s="6"/>
      <c r="B14" s="6"/>
      <c r="C14" s="6"/>
      <c r="D14" s="6"/>
      <c r="E14" s="6"/>
      <c r="F14" s="6"/>
      <c r="G14" s="6"/>
    </row>
    <row r="16" spans="1:17" ht="34.5" thickBot="1" x14ac:dyDescent="0.7">
      <c r="A16" s="19" t="s">
        <v>9</v>
      </c>
    </row>
    <row r="17" spans="1:17" ht="27.75" x14ac:dyDescent="0.4">
      <c r="A17" s="2" t="s">
        <v>7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2"/>
    </row>
    <row r="18" spans="1:17" ht="28.5" thickBot="1" x14ac:dyDescent="0.45">
      <c r="A18" s="8" t="s">
        <v>6</v>
      </c>
      <c r="B18" s="9"/>
      <c r="C18" s="9"/>
      <c r="D18" s="9"/>
      <c r="E18" s="9"/>
      <c r="F18" s="9"/>
      <c r="G18" s="14"/>
      <c r="H18" s="14"/>
      <c r="I18" s="14"/>
      <c r="J18" s="14"/>
      <c r="K18" s="14"/>
      <c r="L18" s="14"/>
      <c r="M18" s="14"/>
      <c r="N18" s="20" t="s">
        <v>10</v>
      </c>
      <c r="O18" s="14"/>
      <c r="P18" s="14"/>
      <c r="Q18" s="15"/>
    </row>
  </sheetData>
  <mergeCells count="1">
    <mergeCell ref="A5:G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37F-4C9E-4755-A0A6-4E78818568F6}">
  <dimension ref="A1:E18"/>
  <sheetViews>
    <sheetView tabSelected="1" workbookViewId="0">
      <selection activeCell="E19" sqref="E19"/>
    </sheetView>
  </sheetViews>
  <sheetFormatPr baseColWidth="10" defaultRowHeight="12.75" x14ac:dyDescent="0.2"/>
  <cols>
    <col min="1" max="1" width="18.7109375" bestFit="1" customWidth="1"/>
    <col min="2" max="2" width="37.28515625" bestFit="1" customWidth="1"/>
    <col min="3" max="3" width="34.5703125" bestFit="1" customWidth="1"/>
    <col min="4" max="4" width="58.140625" bestFit="1" customWidth="1"/>
  </cols>
  <sheetData>
    <row r="1" spans="1:5" x14ac:dyDescent="0.2">
      <c r="A1" s="1" t="s">
        <v>25</v>
      </c>
      <c r="B1">
        <v>1000</v>
      </c>
    </row>
    <row r="2" spans="1:5" x14ac:dyDescent="0.2">
      <c r="A2" s="1" t="s">
        <v>26</v>
      </c>
      <c r="B2" s="28">
        <v>0.1</v>
      </c>
    </row>
    <row r="3" spans="1:5" x14ac:dyDescent="0.2">
      <c r="A3" s="1" t="s">
        <v>13</v>
      </c>
      <c r="B3" s="30">
        <v>3</v>
      </c>
    </row>
    <row r="4" spans="1:5" x14ac:dyDescent="0.2">
      <c r="A4" s="27" t="s">
        <v>12</v>
      </c>
      <c r="B4" s="27" t="s">
        <v>13</v>
      </c>
      <c r="C4" s="27" t="s">
        <v>14</v>
      </c>
      <c r="D4" s="27" t="s">
        <v>15</v>
      </c>
      <c r="E4" s="27" t="s">
        <v>30</v>
      </c>
    </row>
    <row r="5" spans="1:5" x14ac:dyDescent="0.2">
      <c r="A5" t="s">
        <v>11</v>
      </c>
      <c r="B5" s="1" t="s">
        <v>18</v>
      </c>
      <c r="C5" s="1" t="s">
        <v>19</v>
      </c>
      <c r="D5" s="1" t="s">
        <v>20</v>
      </c>
    </row>
    <row r="6" spans="1:5" x14ac:dyDescent="0.2">
      <c r="A6" s="31" t="s">
        <v>27</v>
      </c>
      <c r="B6" s="29">
        <f>C6+D6</f>
        <v>433.33333333333331</v>
      </c>
      <c r="C6" s="29">
        <f>$B$1/$B$3</f>
        <v>333.33333333333331</v>
      </c>
      <c r="D6">
        <f>B2*B1</f>
        <v>100</v>
      </c>
      <c r="E6">
        <v>1000</v>
      </c>
    </row>
    <row r="7" spans="1:5" x14ac:dyDescent="0.2">
      <c r="A7" s="31" t="s">
        <v>28</v>
      </c>
      <c r="B7" s="29">
        <f>C7+D7</f>
        <v>400</v>
      </c>
      <c r="C7" s="29">
        <f t="shared" ref="C7:C8" si="0">$B$1/$B$3</f>
        <v>333.33333333333331</v>
      </c>
      <c r="D7" s="29">
        <f>B2*E7</f>
        <v>66.666666666666671</v>
      </c>
      <c r="E7" s="29">
        <f>E6-C6</f>
        <v>666.66666666666674</v>
      </c>
    </row>
    <row r="8" spans="1:5" x14ac:dyDescent="0.2">
      <c r="A8" s="31" t="s">
        <v>29</v>
      </c>
      <c r="B8" s="29">
        <f>C8+D8</f>
        <v>366.66666666666663</v>
      </c>
      <c r="C8" s="29">
        <f t="shared" si="0"/>
        <v>333.33333333333331</v>
      </c>
      <c r="D8" s="29">
        <f>B2*E8</f>
        <v>33.333333333333343</v>
      </c>
      <c r="E8" s="29">
        <f>E7-C7</f>
        <v>333.33333333333343</v>
      </c>
    </row>
    <row r="9" spans="1:5" x14ac:dyDescent="0.2">
      <c r="A9" s="31"/>
      <c r="C9" s="29"/>
    </row>
    <row r="10" spans="1:5" x14ac:dyDescent="0.2">
      <c r="A10" s="1" t="s">
        <v>16</v>
      </c>
      <c r="B10" s="1" t="s">
        <v>21</v>
      </c>
      <c r="C10" s="1" t="s">
        <v>22</v>
      </c>
      <c r="D10" s="1" t="s">
        <v>23</v>
      </c>
    </row>
    <row r="11" spans="1:5" x14ac:dyDescent="0.2">
      <c r="A11" s="31" t="s">
        <v>32</v>
      </c>
      <c r="B11">
        <f>D11</f>
        <v>100</v>
      </c>
      <c r="C11">
        <v>0</v>
      </c>
      <c r="D11">
        <f>$B$2*$B$1</f>
        <v>100</v>
      </c>
    </row>
    <row r="12" spans="1:5" x14ac:dyDescent="0.2">
      <c r="A12" s="31" t="s">
        <v>31</v>
      </c>
      <c r="B12">
        <f>D12</f>
        <v>100</v>
      </c>
      <c r="C12">
        <v>0</v>
      </c>
      <c r="D12">
        <f t="shared" ref="D12:D13" si="1">$B$2*$B$1</f>
        <v>100</v>
      </c>
    </row>
    <row r="13" spans="1:5" x14ac:dyDescent="0.2">
      <c r="A13" s="31" t="s">
        <v>33</v>
      </c>
      <c r="B13">
        <f>C13+D13</f>
        <v>1100</v>
      </c>
      <c r="C13">
        <v>1000</v>
      </c>
      <c r="D13">
        <f t="shared" si="1"/>
        <v>100</v>
      </c>
    </row>
    <row r="15" spans="1:5" x14ac:dyDescent="0.2">
      <c r="A15" s="1" t="s">
        <v>17</v>
      </c>
      <c r="B15" s="1" t="s">
        <v>24</v>
      </c>
      <c r="C15" s="1" t="s">
        <v>34</v>
      </c>
      <c r="D15" s="1" t="s">
        <v>35</v>
      </c>
      <c r="E15" s="27" t="s">
        <v>36</v>
      </c>
    </row>
    <row r="16" spans="1:5" x14ac:dyDescent="0.2">
      <c r="A16" s="31" t="s">
        <v>27</v>
      </c>
      <c r="B16" s="29">
        <f>$B$1*(1/$B$3 + $B$2)</f>
        <v>433.33333333333337</v>
      </c>
      <c r="C16" s="29">
        <f>B16-D16</f>
        <v>133.33333333333337</v>
      </c>
      <c r="D16">
        <f>$B$2*$B$1*$B$3</f>
        <v>300</v>
      </c>
      <c r="E16">
        <f>D16/B3</f>
        <v>100</v>
      </c>
    </row>
    <row r="17" spans="1:5" x14ac:dyDescent="0.2">
      <c r="A17" s="31" t="s">
        <v>28</v>
      </c>
      <c r="B17" s="29">
        <f t="shared" ref="B17:B18" si="2">$B$1*(1/$B$3 + $B$2)</f>
        <v>433.33333333333337</v>
      </c>
      <c r="C17" s="29">
        <f t="shared" ref="C17:C18" si="3">B17-D17</f>
        <v>433.33333333333337</v>
      </c>
      <c r="E17">
        <f>D16/B3</f>
        <v>100</v>
      </c>
    </row>
    <row r="18" spans="1:5" x14ac:dyDescent="0.2">
      <c r="A18" s="31" t="s">
        <v>29</v>
      </c>
      <c r="B18" s="29">
        <f t="shared" si="2"/>
        <v>433.33333333333337</v>
      </c>
      <c r="C18" s="29">
        <f t="shared" si="3"/>
        <v>433.33333333333337</v>
      </c>
      <c r="E18">
        <f>D16/B3</f>
        <v>100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igente_x0020_Desde0 xmlns="56e487ff-8531-4ca9-91c4-f82d89e5e98e">2007-07-29T00:00:00Z</Vigente_x0020_Desde0>
    <Eliminar xmlns="56e487ff-8531-4ca9-91c4-f82d89e5e98e">if(confirm('Esta seguro?')){SubmitFormPost('/grado/61.50/_vti_bin/owssvr.dll?CS=65001&amp;Cmd=Delete&amp;List={56e487ff-8531-4ca9-91c4-f82d89e5e98e}&amp;ID=242&amp;owsfileref=/grado/61.50/Material Didctico/Apuntes/Archivo 01 VALOR.xls&amp;NextUsing=/grado/61.50/Material Didctico/Apuntes/')}</Eliminar>
    <Descargar xmlns="56e487ff-8531-4ca9-91c4-f82d89e5e98e">/grado/61.50/_layouts/download.aspx?SourceUrl=/grado/61.50/Material Didctico/Apuntes/Archivo 01 VALOR.xls&amp;Source= &amp;FldUrl=/grado/61.50/Material Didctico/Apuntes/Archivo 01 VALOR.xls</Descargar>
    <Vigente_x0020_Hasta xmlns="c9260321-2f47-4675-b46b-f8e3f10ea3c9">2020-12-30T00:00:00Z</Vigente_x0020_Hasta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86B733B94E49747934C94CB5E335A69" ma:contentTypeVersion="8" ma:contentTypeDescription="Crear nuevo documento." ma:contentTypeScope="" ma:versionID="c88521d7fa7faec8284e6c706ba23e84">
  <xsd:schema xmlns:xsd="http://www.w3.org/2001/XMLSchema" xmlns:p="http://schemas.microsoft.com/office/2006/metadata/properties" xmlns:ns2="56e487ff-8531-4ca9-91c4-f82d89e5e98e" xmlns:ns3="c9260321-2f47-4675-b46b-f8e3f10ea3c9" targetNamespace="http://schemas.microsoft.com/office/2006/metadata/properties" ma:root="true" ma:fieldsID="6e388447d1e87439b3bf8366ba3baa06" ns2:_="" ns3:_="">
    <xsd:import namespace="56e487ff-8531-4ca9-91c4-f82d89e5e98e"/>
    <xsd:import namespace="c9260321-2f47-4675-b46b-f8e3f10ea3c9"/>
    <xsd:element name="properties">
      <xsd:complexType>
        <xsd:sequence>
          <xsd:element name="documentManagement">
            <xsd:complexType>
              <xsd:all>
                <xsd:element ref="ns2:Vigente_x0020_Desde0" minOccurs="0"/>
                <xsd:element ref="ns3:Vigente_x0020_Hasta" minOccurs="0"/>
                <xsd:element ref="ns2:Descargar" minOccurs="0"/>
                <xsd:element ref="ns2:Elimina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56e487ff-8531-4ca9-91c4-f82d89e5e98e" elementFormDefault="qualified">
    <xsd:import namespace="http://schemas.microsoft.com/office/2006/documentManagement/types"/>
    <xsd:element name="Vigente_x0020_Desde0" ma:index="1" nillable="true" ma:displayName="Vigente Desde" ma:default="[today]" ma:format="DateOnly" ma:internalName="Vigente_x0020_Desde0">
      <xsd:simpleType>
        <xsd:restriction base="dms:DateTime"/>
      </xsd:simpleType>
    </xsd:element>
    <xsd:element name="Descargar" ma:index="10" nillable="true" ma:displayName="Descargar" ma:internalName="Descargar">
      <xsd:simpleType>
        <xsd:restriction base="dms:Unknown"/>
      </xsd:simpleType>
    </xsd:element>
    <xsd:element name="Eliminar" ma:index="11" nillable="true" ma:displayName="Eliminar" ma:internalName="Eliminar">
      <xsd:simpleType>
        <xsd:restriction base="dms:Unknown"/>
      </xsd:simpleType>
    </xsd:element>
  </xsd:schema>
  <xsd:schema xmlns:xsd="http://www.w3.org/2001/XMLSchema" xmlns:dms="http://schemas.microsoft.com/office/2006/documentManagement/types" targetNamespace="c9260321-2f47-4675-b46b-f8e3f10ea3c9" elementFormDefault="qualified">
    <xsd:import namespace="http://schemas.microsoft.com/office/2006/documentManagement/types"/>
    <xsd:element name="Vigente_x0020_Hasta" ma:index="2" nillable="true" ma:displayName="Vigente Hasta" ma:format="DateOnly" ma:internalName="Vigente_x0020_Hasta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Tipo de contenido" ma:readOnly="true"/>
        <xsd:element ref="dc:title" minOccurs="0" maxOccurs="1" ma:index="0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>
  <LongProp xmlns="" name="Eliminar"><![CDATA[if(confirm('Esta seguro?')){SubmitFormPost('/grado/61.50/_vti_bin/owssvr.dll?CS=65001&Cmd=Delete&List={56e487ff-8531-4ca9-91c4-f82d89e5e98e}&ID=242&owsfileref=/grado/61.50/Material Didctico/Apuntes/Archivo 01 VALOR.xls&NextUsing=/grado/61.50/Material Didctico/Apuntes/')}]]></LongProp>
</LongProperties>
</file>

<file path=customXml/itemProps1.xml><?xml version="1.0" encoding="utf-8"?>
<ds:datastoreItem xmlns:ds="http://schemas.openxmlformats.org/officeDocument/2006/customXml" ds:itemID="{68CC28FC-6EF3-4913-BB5C-1245242A7030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c9260321-2f47-4675-b46b-f8e3f10ea3c9"/>
    <ds:schemaRef ds:uri="http://schemas.microsoft.com/office/2006/documentManagement/types"/>
    <ds:schemaRef ds:uri="56e487ff-8531-4ca9-91c4-f82d89e5e98e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6412D04-1854-4FF1-8DC9-15BE1C5AC0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7A6A51-2F72-40D9-A718-610AF673CE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e487ff-8531-4ca9-91c4-f82d89e5e98e"/>
    <ds:schemaRef ds:uri="c9260321-2f47-4675-b46b-f8e3f10ea3c9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D6FFD87-9E3C-4D83-960C-C65077531C6A}">
  <ds:schemaRefs>
    <ds:schemaRef ds:uri="http://schemas.microsoft.com/office/2006/metadata/longProperties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ENTREGABLE 2</vt:lpstr>
      <vt:lpstr>Cuotas y Componentes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Archivo 01 VALOR</dc:title>
  <dc:creator>Esteban Yañez</dc:creator>
  <cp:lastModifiedBy>Gabriel</cp:lastModifiedBy>
  <cp:lastPrinted>2001-01-18T03:01:23Z</cp:lastPrinted>
  <dcterms:created xsi:type="dcterms:W3CDTF">1999-05-21T04:40:53Z</dcterms:created>
  <dcterms:modified xsi:type="dcterms:W3CDTF">2023-03-26T21:39:11Z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Documento</vt:lpwstr>
  </property>
</Properties>
</file>