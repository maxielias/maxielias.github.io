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ENUNCIADO" sheetId="1" r:id="rId4"/>
    <sheet state="visible" name="RESOLUCIÓN --&gt;" sheetId="2" r:id="rId5"/>
    <sheet state="visible" name="PARTE 1" sheetId="3" r:id="rId6"/>
    <sheet state="visible" name="PARTE 2" sheetId="4" r:id="rId7"/>
  </sheets>
  <definedNames>
    <definedName name="taxtable">#REF!</definedName>
  </definedNames>
  <calcPr/>
  <extLst>
    <ext uri="GoogleSheetsCustomDataVersion1">
      <go:sheetsCustomData xmlns:go="http://customooxmlschemas.google.com/" r:id="rId8" roundtripDataSignature="AMtx7miNWHllufdlwzWwPtRaxRsuneNX4Q=="/>
    </ext>
  </extLst>
</workbook>
</file>

<file path=xl/sharedStrings.xml><?xml version="1.0" encoding="utf-8"?>
<sst xmlns="http://schemas.openxmlformats.org/spreadsheetml/2006/main" count="59" uniqueCount="32">
  <si>
    <t>ENTREGABLE 2</t>
  </si>
  <si>
    <t>PARTE 1</t>
  </si>
  <si>
    <t xml:space="preserve">Investigue que otros métodos de devolución de préstamos además del francés podrían </t>
  </si>
  <si>
    <r>
      <rPr>
        <rFont val="Arial"/>
        <b/>
        <color theme="1"/>
        <sz val="22.0"/>
      </rPr>
      <t>encontrarse en los mercados. (Se sugiere</t>
    </r>
    <r>
      <rPr>
        <rFont val="Arial"/>
        <b/>
        <color rgb="FFFF0000"/>
        <sz val="22.0"/>
      </rPr>
      <t xml:space="preserve"> alemán, bullet,y  directo</t>
    </r>
    <r>
      <rPr>
        <rFont val="Arial"/>
        <b/>
        <color theme="1"/>
        <sz val="22.0"/>
      </rPr>
      <t xml:space="preserve">) </t>
    </r>
  </si>
  <si>
    <t>Comente sus hallazgos.</t>
  </si>
  <si>
    <t>En todos los casos resuelva la determinación de las cuotas y sus componentes para 3 cuotas</t>
  </si>
  <si>
    <t>utilice una tasa sobre saldos del 10% por periodo en todos los casos. Préstamo= 1000$</t>
  </si>
  <si>
    <t>PARTE 2</t>
  </si>
  <si>
    <t xml:space="preserve">Resuelva el ejemplo presentado en clase ( Préstamo Francés, 3 cuotas, tasa 10% por período) </t>
  </si>
  <si>
    <t>pero con inflaciones de 6,34%, 7,46%, y 6,25% por período en cada período.</t>
  </si>
  <si>
    <t xml:space="preserve"> Use el formato del anexo del ppt de clase</t>
  </si>
  <si>
    <t>P</t>
  </si>
  <si>
    <t>n</t>
  </si>
  <si>
    <t>i</t>
  </si>
  <si>
    <t>Tipo: Aleman</t>
  </si>
  <si>
    <t>Saldo inicio del período</t>
  </si>
  <si>
    <t>I</t>
  </si>
  <si>
    <t>A</t>
  </si>
  <si>
    <t>C = A+I</t>
  </si>
  <si>
    <t>Saldo final del período</t>
  </si>
  <si>
    <t>Tipo: Americano</t>
  </si>
  <si>
    <t>Tipo: Directo</t>
  </si>
  <si>
    <t>Inflación</t>
  </si>
  <si>
    <t>inf1</t>
  </si>
  <si>
    <t>inf2</t>
  </si>
  <si>
    <t>Tipo</t>
  </si>
  <si>
    <t>Francés</t>
  </si>
  <si>
    <t>inf3</t>
  </si>
  <si>
    <t>Factor (n,i)</t>
  </si>
  <si>
    <t>Ejercicio inicial (Anexo)</t>
  </si>
  <si>
    <t>Ejercicio con inf.</t>
  </si>
  <si>
    <t>Saldo inicio del período (MO)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</si>
</sst>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0.0"/>
  </numFmts>
  <fonts count="9">
    <font>
      <sz val="10.0"/>
      <color rgb="FF000000"/>
      <name val="Arial"/>
      <scheme val="minor"/>
    </font>
    <font>
      <sz val="10.0"/>
      <color theme="1"/>
      <name val="Arial"/>
    </font>
    <font>
      <sz val="22.0"/>
      <color theme="1"/>
      <name val="Arial Black"/>
    </font>
    <font/>
    <font>
      <sz val="10.0"/>
      <color theme="1"/>
      <name val="Arial Black"/>
    </font>
    <font>
      <b/>
      <sz val="10.0"/>
      <color theme="1"/>
      <name val="Arial Black"/>
    </font>
    <font>
      <b/>
      <sz val="22.0"/>
      <color theme="1"/>
      <name val="Arial"/>
    </font>
    <font>
      <b/>
      <sz val="22.0"/>
      <color theme="1"/>
      <name val="Arial Black"/>
    </font>
    <font>
      <b/>
      <sz val="10.0"/>
      <color theme="1"/>
      <name val="Arial"/>
    </font>
  </fonts>
  <fills count="4">
    <fill>
      <patternFill patternType="none"/>
    </fill>
    <fill>
      <patternFill patternType="lightGray"/>
    </fill>
    <fill>
      <patternFill patternType="solid">
        <fgColor rgb="FF7F7F7F"/>
        <bgColor rgb="FF7F7F7F"/>
      </patternFill>
    </fill>
    <fill>
      <patternFill patternType="solid">
        <fgColor rgb="FFF2F2F2"/>
        <bgColor rgb="FFF2F2F2"/>
      </patternFill>
    </fill>
  </fills>
  <borders count="25">
    <border/>
    <border>
      <left style="medium">
        <color rgb="FF000000"/>
      </left>
      <top style="medium">
        <color rgb="FF000000"/>
      </top>
    </border>
    <border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  <bottom style="medium">
        <color rgb="FF000000"/>
      </bottom>
    </border>
    <border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medium">
        <color rgb="FF000000"/>
      </left>
    </border>
    <border>
      <right style="medium">
        <color rgb="FF000000"/>
      </right>
    </border>
    <border>
      <left/>
      <right/>
      <top/>
      <bottom/>
    </border>
    <border>
      <left style="thin">
        <color rgb="FF000000"/>
      </left>
      <right/>
      <top style="thin">
        <color rgb="FF000000"/>
      </top>
      <bottom/>
    </border>
    <border>
      <right style="thin">
        <color rgb="FF000000"/>
      </right>
      <top style="thin">
        <color rgb="FF000000"/>
      </top>
    </border>
    <border>
      <left style="thin">
        <color rgb="FF000000"/>
      </left>
      <right/>
      <top/>
      <bottom/>
    </border>
    <border>
      <right style="thin">
        <color rgb="FF000000"/>
      </right>
    </border>
    <border>
      <left style="thin">
        <color rgb="FF000000"/>
      </left>
      <right/>
      <top/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</border>
    <border>
      <left style="thin">
        <color rgb="FF000000"/>
      </left>
      <bottom style="thin">
        <color rgb="FF000000"/>
      </bottom>
    </border>
    <border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/>
    </border>
  </borders>
  <cellStyleXfs count="1">
    <xf borderId="0" fillId="0" fontId="0" numFmtId="0" applyAlignment="1" applyFont="1"/>
  </cellStyleXfs>
  <cellXfs count="56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0" fontId="2" numFmtId="0" xfId="0" applyAlignment="1" applyBorder="1" applyFont="1">
      <alignment horizontal="center"/>
    </xf>
    <xf borderId="2" fillId="0" fontId="3" numFmtId="0" xfId="0" applyBorder="1" applyFont="1"/>
    <xf borderId="3" fillId="0" fontId="3" numFmtId="0" xfId="0" applyBorder="1" applyFont="1"/>
    <xf borderId="4" fillId="0" fontId="3" numFmtId="0" xfId="0" applyBorder="1" applyFont="1"/>
    <xf borderId="5" fillId="0" fontId="3" numFmtId="0" xfId="0" applyBorder="1" applyFont="1"/>
    <xf borderId="6" fillId="0" fontId="3" numFmtId="0" xfId="0" applyBorder="1" applyFont="1"/>
    <xf borderId="0" fillId="0" fontId="4" numFmtId="0" xfId="0" applyAlignment="1" applyFont="1">
      <alignment horizontal="center"/>
    </xf>
    <xf borderId="0" fillId="0" fontId="2" numFmtId="0" xfId="0" applyFont="1"/>
    <xf borderId="0" fillId="0" fontId="5" numFmtId="0" xfId="0" applyFont="1"/>
    <xf borderId="1" fillId="0" fontId="6" numFmtId="0" xfId="0" applyBorder="1" applyFont="1"/>
    <xf borderId="2" fillId="0" fontId="6" numFmtId="0" xfId="0" applyBorder="1" applyFont="1"/>
    <xf borderId="3" fillId="0" fontId="6" numFmtId="0" xfId="0" applyBorder="1" applyFont="1"/>
    <xf borderId="2" fillId="0" fontId="1" numFmtId="0" xfId="0" applyBorder="1" applyFont="1"/>
    <xf borderId="3" fillId="0" fontId="1" numFmtId="0" xfId="0" applyBorder="1" applyFont="1"/>
    <xf borderId="7" fillId="0" fontId="6" numFmtId="0" xfId="0" applyBorder="1" applyFont="1"/>
    <xf borderId="0" fillId="0" fontId="6" numFmtId="0" xfId="0" applyFont="1"/>
    <xf borderId="8" fillId="0" fontId="6" numFmtId="0" xfId="0" applyBorder="1" applyFont="1"/>
    <xf borderId="8" fillId="0" fontId="1" numFmtId="0" xfId="0" applyBorder="1" applyFont="1"/>
    <xf borderId="4" fillId="0" fontId="6" numFmtId="0" xfId="0" applyBorder="1" applyFont="1"/>
    <xf borderId="5" fillId="0" fontId="6" numFmtId="0" xfId="0" applyBorder="1" applyFont="1"/>
    <xf borderId="6" fillId="0" fontId="6" numFmtId="0" xfId="0" applyBorder="1" applyFont="1"/>
    <xf borderId="5" fillId="0" fontId="1" numFmtId="0" xfId="0" applyBorder="1" applyFont="1"/>
    <xf borderId="6" fillId="0" fontId="1" numFmtId="0" xfId="0" applyBorder="1" applyFont="1"/>
    <xf borderId="0" fillId="0" fontId="7" numFmtId="0" xfId="0" applyFont="1"/>
    <xf borderId="5" fillId="0" fontId="8" numFmtId="0" xfId="0" applyBorder="1" applyFont="1"/>
    <xf borderId="9" fillId="2" fontId="1" numFmtId="0" xfId="0" applyBorder="1" applyFill="1" applyFont="1"/>
    <xf borderId="0" fillId="0" fontId="1" numFmtId="0" xfId="0" applyAlignment="1" applyFont="1">
      <alignment horizontal="center"/>
    </xf>
    <xf borderId="10" fillId="3" fontId="8" numFmtId="0" xfId="0" applyAlignment="1" applyBorder="1" applyFill="1" applyFont="1">
      <alignment horizontal="center"/>
    </xf>
    <xf borderId="11" fillId="0" fontId="1" numFmtId="0" xfId="0" applyAlignment="1" applyBorder="1" applyFont="1">
      <alignment horizontal="center"/>
    </xf>
    <xf borderId="12" fillId="3" fontId="8" numFmtId="0" xfId="0" applyAlignment="1" applyBorder="1" applyFont="1">
      <alignment horizontal="center"/>
    </xf>
    <xf borderId="13" fillId="0" fontId="1" numFmtId="0" xfId="0" applyAlignment="1" applyBorder="1" applyFont="1">
      <alignment horizontal="center"/>
    </xf>
    <xf borderId="14" fillId="3" fontId="8" numFmtId="0" xfId="0" applyAlignment="1" applyBorder="1" applyFont="1">
      <alignment horizontal="center"/>
    </xf>
    <xf borderId="15" fillId="0" fontId="1" numFmtId="9" xfId="0" applyAlignment="1" applyBorder="1" applyFont="1" applyNumberFormat="1">
      <alignment horizontal="center"/>
    </xf>
    <xf borderId="16" fillId="3" fontId="8" numFmtId="0" xfId="0" applyAlignment="1" applyBorder="1" applyFont="1">
      <alignment horizontal="center"/>
    </xf>
    <xf borderId="17" fillId="0" fontId="1" numFmtId="0" xfId="0" applyAlignment="1" applyBorder="1" applyFont="1">
      <alignment horizontal="center"/>
    </xf>
    <xf borderId="18" fillId="0" fontId="1" numFmtId="0" xfId="0" applyAlignment="1" applyBorder="1" applyFont="1">
      <alignment horizontal="center"/>
    </xf>
    <xf quotePrefix="1" borderId="18" fillId="0" fontId="1" numFmtId="0" xfId="0" applyAlignment="1" applyBorder="1" applyFont="1">
      <alignment horizontal="center"/>
    </xf>
    <xf borderId="19" fillId="0" fontId="1" numFmtId="0" xfId="0" applyAlignment="1" applyBorder="1" applyFont="1">
      <alignment horizontal="center"/>
    </xf>
    <xf borderId="20" fillId="0" fontId="1" numFmtId="0" xfId="0" applyAlignment="1" applyBorder="1" applyFont="1">
      <alignment horizontal="center"/>
    </xf>
    <xf borderId="0" fillId="0" fontId="1" numFmtId="1" xfId="0" applyAlignment="1" applyFont="1" applyNumberFormat="1">
      <alignment horizontal="center"/>
    </xf>
    <xf borderId="13" fillId="0" fontId="1" numFmtId="1" xfId="0" applyAlignment="1" applyBorder="1" applyFont="1" applyNumberFormat="1">
      <alignment horizontal="center"/>
    </xf>
    <xf borderId="21" fillId="0" fontId="1" numFmtId="0" xfId="0" applyAlignment="1" applyBorder="1" applyFont="1">
      <alignment horizontal="center"/>
    </xf>
    <xf borderId="22" fillId="0" fontId="1" numFmtId="1" xfId="0" applyAlignment="1" applyBorder="1" applyFont="1" applyNumberFormat="1">
      <alignment horizontal="center"/>
    </xf>
    <xf borderId="15" fillId="0" fontId="1" numFmtId="1" xfId="0" applyAlignment="1" applyBorder="1" applyFont="1" applyNumberFormat="1">
      <alignment horizontal="center"/>
    </xf>
    <xf borderId="0" fillId="0" fontId="1" numFmtId="0" xfId="0" applyAlignment="1" applyFont="1">
      <alignment horizontal="left" readingOrder="0" shrinkToFit="0" wrapText="1"/>
    </xf>
    <xf borderId="17" fillId="3" fontId="8" numFmtId="0" xfId="0" applyAlignment="1" applyBorder="1" applyFont="1">
      <alignment horizontal="center"/>
    </xf>
    <xf borderId="19" fillId="0" fontId="3" numFmtId="0" xfId="0" applyBorder="1" applyFont="1"/>
    <xf borderId="23" fillId="0" fontId="1" numFmtId="0" xfId="0" applyAlignment="1" applyBorder="1" applyFont="1">
      <alignment horizontal="center"/>
    </xf>
    <xf borderId="11" fillId="0" fontId="1" numFmtId="10" xfId="0" applyAlignment="1" applyBorder="1" applyFont="1" applyNumberFormat="1">
      <alignment horizontal="center"/>
    </xf>
    <xf borderId="13" fillId="0" fontId="1" numFmtId="9" xfId="0" applyAlignment="1" applyBorder="1" applyFont="1" applyNumberFormat="1">
      <alignment horizontal="center"/>
    </xf>
    <xf borderId="13" fillId="0" fontId="1" numFmtId="10" xfId="0" applyAlignment="1" applyBorder="1" applyFont="1" applyNumberFormat="1">
      <alignment horizontal="center"/>
    </xf>
    <xf borderId="15" fillId="0" fontId="1" numFmtId="10" xfId="0" applyAlignment="1" applyBorder="1" applyFont="1" applyNumberFormat="1">
      <alignment horizontal="center"/>
    </xf>
    <xf borderId="15" fillId="0" fontId="1" numFmtId="164" xfId="0" applyAlignment="1" applyBorder="1" applyFont="1" applyNumberFormat="1">
      <alignment horizontal="center"/>
    </xf>
    <xf borderId="24" fillId="3" fontId="8" numFmtId="0" xfId="0" applyAlignment="1" applyBorder="1" applyFont="1">
      <alignment horizont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6" width="10.63"/>
    <col customWidth="1" min="17" max="17" width="20.0"/>
    <col customWidth="1" min="18" max="26" width="10.63"/>
  </cols>
  <sheetData>
    <row r="1" ht="12.75" customHeight="1">
      <c r="A1" s="1"/>
    </row>
    <row r="2" ht="12.75" customHeight="1"/>
    <row r="3" ht="12.75" customHeight="1"/>
    <row r="4" ht="12.75" customHeight="1"/>
    <row r="5" ht="12.75" customHeight="1">
      <c r="A5" s="2" t="s">
        <v>0</v>
      </c>
      <c r="B5" s="3"/>
      <c r="C5" s="3"/>
      <c r="D5" s="3"/>
      <c r="E5" s="3"/>
      <c r="F5" s="3"/>
      <c r="G5" s="4"/>
    </row>
    <row r="6" ht="12.75" customHeight="1">
      <c r="A6" s="5"/>
      <c r="B6" s="6"/>
      <c r="C6" s="6"/>
      <c r="D6" s="6"/>
      <c r="E6" s="6"/>
      <c r="F6" s="6"/>
      <c r="G6" s="7"/>
    </row>
    <row r="7" ht="12.75" customHeight="1">
      <c r="A7" s="8"/>
      <c r="B7" s="8"/>
      <c r="C7" s="8"/>
      <c r="D7" s="8"/>
      <c r="E7" s="8"/>
      <c r="F7" s="8"/>
      <c r="G7" s="8"/>
    </row>
    <row r="8" ht="12.75" customHeight="1">
      <c r="A8" s="9" t="s">
        <v>1</v>
      </c>
      <c r="B8" s="10"/>
    </row>
    <row r="9" ht="12.75" customHeight="1">
      <c r="A9" s="11" t="s">
        <v>2</v>
      </c>
      <c r="B9" s="12"/>
      <c r="C9" s="12"/>
      <c r="D9" s="12"/>
      <c r="E9" s="12"/>
      <c r="F9" s="12"/>
      <c r="G9" s="13"/>
      <c r="H9" s="14"/>
      <c r="I9" s="14"/>
      <c r="J9" s="14"/>
      <c r="K9" s="14"/>
      <c r="L9" s="14"/>
      <c r="M9" s="14"/>
      <c r="N9" s="14"/>
      <c r="O9" s="14"/>
      <c r="P9" s="14"/>
      <c r="Q9" s="15"/>
    </row>
    <row r="10" ht="12.75" customHeight="1">
      <c r="A10" s="16" t="s">
        <v>3</v>
      </c>
      <c r="B10" s="17"/>
      <c r="C10" s="17"/>
      <c r="D10" s="17"/>
      <c r="E10" s="17"/>
      <c r="F10" s="17"/>
      <c r="G10" s="18"/>
      <c r="Q10" s="19"/>
    </row>
    <row r="11" ht="12.75" customHeight="1">
      <c r="A11" s="16" t="s">
        <v>4</v>
      </c>
      <c r="B11" s="17"/>
      <c r="C11" s="17"/>
      <c r="D11" s="17"/>
      <c r="E11" s="17"/>
      <c r="F11" s="17"/>
      <c r="G11" s="18"/>
      <c r="Q11" s="19"/>
    </row>
    <row r="12" ht="12.75" customHeight="1">
      <c r="A12" s="16" t="s">
        <v>5</v>
      </c>
      <c r="B12" s="17"/>
      <c r="C12" s="17"/>
      <c r="D12" s="17"/>
      <c r="E12" s="17"/>
      <c r="F12" s="17"/>
      <c r="G12" s="18"/>
      <c r="Q12" s="19"/>
    </row>
    <row r="13" ht="12.75" customHeight="1">
      <c r="A13" s="20" t="s">
        <v>6</v>
      </c>
      <c r="B13" s="21"/>
      <c r="C13" s="21"/>
      <c r="D13" s="21"/>
      <c r="E13" s="21"/>
      <c r="F13" s="21"/>
      <c r="G13" s="22"/>
      <c r="H13" s="23"/>
      <c r="I13" s="23"/>
      <c r="J13" s="23"/>
      <c r="K13" s="23"/>
      <c r="L13" s="23"/>
      <c r="M13" s="23"/>
      <c r="N13" s="23"/>
      <c r="O13" s="23"/>
      <c r="P13" s="23"/>
      <c r="Q13" s="24"/>
    </row>
    <row r="14" ht="12.75" customHeight="1">
      <c r="A14" s="17"/>
      <c r="B14" s="17"/>
      <c r="C14" s="17"/>
      <c r="D14" s="17"/>
      <c r="E14" s="17"/>
      <c r="F14" s="17"/>
      <c r="G14" s="17"/>
    </row>
    <row r="15" ht="12.75" customHeight="1"/>
    <row r="16" ht="12.75" customHeight="1">
      <c r="A16" s="25" t="s">
        <v>7</v>
      </c>
    </row>
    <row r="17" ht="12.75" customHeight="1">
      <c r="A17" s="11" t="s">
        <v>8</v>
      </c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5"/>
    </row>
    <row r="18" ht="58.5" customHeight="1">
      <c r="A18" s="20" t="s">
        <v>9</v>
      </c>
      <c r="B18" s="21"/>
      <c r="C18" s="21"/>
      <c r="D18" s="21"/>
      <c r="E18" s="21"/>
      <c r="F18" s="21"/>
      <c r="G18" s="23"/>
      <c r="H18" s="23"/>
      <c r="I18" s="23"/>
      <c r="J18" s="23"/>
      <c r="K18" s="23"/>
      <c r="L18" s="23"/>
      <c r="M18" s="23"/>
      <c r="N18" s="26" t="s">
        <v>10</v>
      </c>
      <c r="O18" s="23"/>
      <c r="P18" s="23"/>
      <c r="Q18" s="24"/>
    </row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1">
    <mergeCell ref="A5:G6"/>
  </mergeCells>
  <printOptions/>
  <pageMargins bottom="0.75" footer="0.0" header="0.0" left="0.7" right="0.7" top="0.75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7F7F7F"/>
    <pageSetUpPr/>
  </sheetPr>
  <sheetViews>
    <sheetView workbookViewId="0"/>
  </sheetViews>
  <sheetFormatPr customHeight="1" defaultColWidth="12.63" defaultRowHeight="15.0"/>
  <cols>
    <col customWidth="1" min="1" max="6" width="11.38"/>
    <col customWidth="1" min="7" max="26" width="10.63"/>
  </cols>
  <sheetData>
    <row r="1" ht="12.75" customHeight="1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</row>
    <row r="2" ht="12.75" customHeight="1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</row>
    <row r="3" ht="12.75" customHeight="1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</row>
    <row r="4" ht="12.75" customHeight="1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</row>
    <row r="5" ht="12.75" customHeight="1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</row>
    <row r="6" ht="12.75" customHeight="1">
      <c r="A6" s="27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</row>
    <row r="7" ht="12.75" customHeight="1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</row>
    <row r="8" ht="12.75" customHeight="1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</row>
    <row r="9" ht="12.75" customHeight="1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</row>
    <row r="10" ht="12.75" customHeight="1">
      <c r="A10" s="27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</row>
    <row r="11" ht="12.75" customHeight="1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2" ht="12.75" customHeight="1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</row>
    <row r="13" ht="12.75" customHeight="1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</row>
    <row r="14" ht="12.75" customHeight="1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</row>
    <row r="15" ht="12.75" customHeight="1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</row>
    <row r="16" ht="12.75" customHeight="1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</row>
    <row r="17" ht="12.75" customHeight="1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</row>
    <row r="18" ht="12.75" customHeight="1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</row>
    <row r="19" ht="12.75" customHeight="1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</row>
    <row r="20" ht="12.75" customHeight="1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</row>
    <row r="21" ht="12.75" customHeight="1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</row>
    <row r="22" ht="12.75" customHeight="1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</row>
    <row r="23" ht="12.75" customHeight="1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</row>
    <row r="24" ht="12.75" customHeight="1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</row>
    <row r="25" ht="12.75" customHeight="1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</row>
    <row r="26" ht="12.75" customHeight="1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</row>
    <row r="27" ht="12.75" customHeight="1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</row>
    <row r="28" ht="12.75" customHeight="1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</row>
    <row r="29" ht="12.75" customHeight="1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</row>
    <row r="30" ht="12.75" customHeight="1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</row>
    <row r="31" ht="12.75" customHeight="1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</row>
    <row r="32" ht="12.75" customHeight="1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</row>
    <row r="33" ht="12.75" customHeight="1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</row>
    <row r="34" ht="12.75" customHeight="1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</row>
    <row r="35" ht="12.75" customHeight="1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</row>
    <row r="36" ht="12.75" customHeight="1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</row>
    <row r="37" ht="12.75" customHeight="1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</row>
    <row r="38" ht="12.75" customHeight="1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</row>
    <row r="39" ht="12.75" customHeight="1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</row>
    <row r="40" ht="12.75" customHeight="1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</row>
    <row r="41" ht="12.75" customHeight="1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</row>
    <row r="42" ht="12.75" customHeight="1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</row>
    <row r="43" ht="12.75" customHeight="1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</row>
    <row r="44" ht="12.75" customHeight="1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</row>
    <row r="45" ht="12.75" customHeight="1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</row>
    <row r="46" ht="12.75" customHeight="1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</row>
    <row r="47" ht="12.75" customHeight="1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</row>
    <row r="48" ht="12.75" customHeight="1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</row>
    <row r="49" ht="12.75" customHeight="1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</row>
    <row r="50" ht="12.75" customHeight="1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</row>
    <row r="51" ht="12.75" customHeight="1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</row>
    <row r="52" ht="12.75" customHeight="1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</row>
    <row r="53" ht="12.75" customHeight="1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</row>
    <row r="54" ht="12.75" customHeight="1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</row>
    <row r="55" ht="12.75" customHeight="1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</row>
    <row r="56" ht="12.75" customHeight="1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</row>
    <row r="57" ht="12.75" customHeight="1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</row>
    <row r="58" ht="12.75" customHeight="1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</row>
    <row r="59" ht="12.75" customHeight="1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</row>
    <row r="60" ht="12.75" customHeight="1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</row>
    <row r="61" ht="12.75" customHeight="1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</row>
    <row r="62" ht="12.75" customHeight="1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</row>
    <row r="63" ht="12.75" customHeight="1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</row>
    <row r="64" ht="12.75" customHeight="1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</row>
    <row r="65" ht="12.75" customHeight="1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</row>
    <row r="66" ht="12.75" customHeight="1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</row>
    <row r="67" ht="12.75" customHeight="1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</row>
    <row r="68" ht="12.75" customHeight="1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</row>
    <row r="69" ht="12.75" customHeight="1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</row>
    <row r="70" ht="12.75" customHeight="1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</row>
    <row r="71" ht="12.75" customHeight="1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</row>
    <row r="72" ht="12.75" customHeight="1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</row>
    <row r="73" ht="12.75" customHeight="1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</row>
    <row r="74" ht="12.75" customHeight="1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</row>
    <row r="75" ht="12.75" customHeight="1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</row>
    <row r="76" ht="12.75" customHeight="1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</row>
    <row r="77" ht="12.75" customHeight="1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</row>
    <row r="78" ht="12.75" customHeight="1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</row>
    <row r="79" ht="12.75" customHeight="1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</row>
    <row r="80" ht="12.75" customHeight="1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</row>
    <row r="81" ht="12.75" customHeight="1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</row>
    <row r="82" ht="12.75" customHeight="1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</row>
    <row r="83" ht="12.75" customHeight="1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</row>
    <row r="84" ht="12.75" customHeight="1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</row>
    <row r="85" ht="12.75" customHeight="1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</row>
    <row r="86" ht="12.75" customHeight="1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</row>
    <row r="87" ht="12.75" customHeight="1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</row>
    <row r="88" ht="12.75" customHeight="1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</row>
    <row r="89" ht="12.75" customHeight="1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</row>
    <row r="90" ht="12.75" customHeight="1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</row>
    <row r="91" ht="12.75" customHeight="1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</row>
    <row r="92" ht="12.75" customHeight="1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</row>
    <row r="93" ht="12.75" customHeight="1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</row>
    <row r="94" ht="12.75" customHeight="1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</row>
    <row r="95" ht="12.75" customHeight="1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</row>
    <row r="96" ht="12.75" customHeight="1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</row>
    <row r="97" ht="12.75" customHeight="1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</row>
    <row r="98" ht="12.75" customHeight="1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</row>
    <row r="99" ht="12.75" customHeight="1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</row>
    <row r="100" ht="12.75" customHeight="1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</row>
    <row r="101" ht="12.75" customHeight="1">
      <c r="A101" s="27"/>
      <c r="B101" s="27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</row>
    <row r="102" ht="12.75" customHeight="1">
      <c r="A102" s="27"/>
      <c r="B102" s="27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</row>
    <row r="103" ht="12.75" customHeight="1">
      <c r="A103" s="27"/>
      <c r="B103" s="27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</row>
    <row r="104" ht="12.75" customHeight="1">
      <c r="A104" s="27"/>
      <c r="B104" s="27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</row>
    <row r="105" ht="12.75" customHeight="1">
      <c r="A105" s="27"/>
      <c r="B105" s="27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</row>
    <row r="106" ht="12.75" customHeight="1">
      <c r="A106" s="27"/>
      <c r="B106" s="27"/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</row>
    <row r="107" ht="12.75" customHeight="1">
      <c r="A107" s="27"/>
      <c r="B107" s="27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</row>
    <row r="108" ht="12.75" customHeight="1">
      <c r="A108" s="27"/>
      <c r="B108" s="27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</row>
    <row r="109" ht="12.75" customHeight="1">
      <c r="A109" s="27"/>
      <c r="B109" s="27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</row>
    <row r="110" ht="12.75" customHeight="1">
      <c r="A110" s="27"/>
      <c r="B110" s="27"/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</row>
    <row r="111" ht="12.75" customHeight="1">
      <c r="A111" s="27"/>
      <c r="B111" s="27"/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</row>
    <row r="112" ht="12.75" customHeight="1">
      <c r="A112" s="27"/>
      <c r="B112" s="27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</row>
    <row r="113" ht="12.75" customHeight="1">
      <c r="A113" s="27"/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</row>
    <row r="114" ht="12.75" customHeight="1">
      <c r="A114" s="27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</row>
    <row r="115" ht="12.75" customHeight="1">
      <c r="A115" s="27"/>
      <c r="B115" s="27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</row>
    <row r="116" ht="12.75" customHeight="1">
      <c r="A116" s="27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</row>
    <row r="117" ht="12.75" customHeight="1">
      <c r="A117" s="27"/>
      <c r="B117" s="27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</row>
    <row r="118" ht="12.75" customHeight="1">
      <c r="A118" s="27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</row>
    <row r="119" ht="12.75" customHeight="1">
      <c r="A119" s="27"/>
      <c r="B119" s="27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</row>
    <row r="120" ht="12.75" customHeight="1">
      <c r="A120" s="27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</row>
    <row r="121" ht="12.75" customHeight="1">
      <c r="A121" s="27"/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</row>
    <row r="122" ht="12.75" customHeight="1">
      <c r="A122" s="27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</row>
    <row r="123" ht="12.75" customHeight="1">
      <c r="A123" s="27"/>
      <c r="B123" s="27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</row>
    <row r="124" ht="12.75" customHeight="1">
      <c r="A124" s="27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</row>
    <row r="125" ht="12.75" customHeight="1">
      <c r="A125" s="27"/>
      <c r="B125" s="27"/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</row>
    <row r="126" ht="12.75" customHeight="1">
      <c r="A126" s="27"/>
      <c r="B126" s="27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</row>
    <row r="127" ht="12.75" customHeight="1">
      <c r="A127" s="27"/>
      <c r="B127" s="27"/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</row>
    <row r="128" ht="12.75" customHeight="1">
      <c r="A128" s="27"/>
      <c r="B128" s="27"/>
      <c r="C128" s="27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</row>
    <row r="129" ht="12.75" customHeight="1">
      <c r="A129" s="27"/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</row>
    <row r="130" ht="12.75" customHeight="1">
      <c r="A130" s="27"/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</row>
    <row r="131" ht="12.75" customHeight="1">
      <c r="A131" s="27"/>
      <c r="B131" s="27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</row>
    <row r="132" ht="12.75" customHeight="1">
      <c r="A132" s="27"/>
      <c r="B132" s="27"/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</row>
    <row r="133" ht="12.75" customHeight="1">
      <c r="A133" s="27"/>
      <c r="B133" s="27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</row>
    <row r="134" ht="12.75" customHeight="1">
      <c r="A134" s="27"/>
      <c r="B134" s="27"/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</row>
    <row r="135" ht="12.75" customHeight="1">
      <c r="A135" s="27"/>
      <c r="B135" s="27"/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</row>
    <row r="136" ht="12.75" customHeight="1">
      <c r="A136" s="27"/>
      <c r="B136" s="27"/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</row>
    <row r="137" ht="12.75" customHeight="1">
      <c r="A137" s="27"/>
      <c r="B137" s="27"/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</row>
    <row r="138" ht="12.75" customHeight="1">
      <c r="A138" s="27"/>
      <c r="B138" s="27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</row>
    <row r="139" ht="12.75" customHeight="1">
      <c r="A139" s="27"/>
      <c r="B139" s="27"/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</row>
    <row r="140" ht="12.75" customHeight="1">
      <c r="A140" s="27"/>
      <c r="B140" s="27"/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</row>
    <row r="141" ht="12.75" customHeight="1">
      <c r="A141" s="27"/>
      <c r="B141" s="27"/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</row>
    <row r="142" ht="12.75" customHeight="1">
      <c r="A142" s="27"/>
      <c r="B142" s="27"/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</row>
    <row r="143" ht="12.75" customHeight="1">
      <c r="A143" s="27"/>
      <c r="B143" s="27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</row>
    <row r="144" ht="12.75" customHeight="1">
      <c r="A144" s="27"/>
      <c r="B144" s="27"/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</row>
    <row r="145" ht="12.75" customHeight="1">
      <c r="A145" s="27"/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</row>
    <row r="146" ht="12.75" customHeight="1">
      <c r="A146" s="27"/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</row>
    <row r="147" ht="12.75" customHeight="1">
      <c r="A147" s="27"/>
      <c r="B147" s="27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</row>
    <row r="148" ht="12.75" customHeight="1">
      <c r="A148" s="27"/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</row>
    <row r="149" ht="12.75" customHeight="1">
      <c r="A149" s="27"/>
      <c r="B149" s="27"/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</row>
    <row r="150" ht="12.75" customHeight="1">
      <c r="A150" s="27"/>
      <c r="B150" s="27"/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</row>
    <row r="151" ht="12.75" customHeight="1">
      <c r="A151" s="27"/>
      <c r="B151" s="27"/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</row>
    <row r="152" ht="12.75" customHeight="1">
      <c r="A152" s="27"/>
      <c r="B152" s="27"/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</row>
    <row r="153" ht="12.75" customHeight="1">
      <c r="A153" s="27"/>
      <c r="B153" s="27"/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</row>
    <row r="154" ht="12.75" customHeight="1">
      <c r="A154" s="27"/>
      <c r="B154" s="27"/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</row>
    <row r="155" ht="12.75" customHeight="1">
      <c r="A155" s="27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</row>
    <row r="156" ht="12.75" customHeight="1">
      <c r="A156" s="27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</row>
    <row r="157" ht="12.75" customHeight="1">
      <c r="A157" s="27"/>
      <c r="B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</row>
    <row r="158" ht="12.75" customHeight="1">
      <c r="A158" s="27"/>
      <c r="B158" s="27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</row>
    <row r="159" ht="12.75" customHeight="1">
      <c r="A159" s="27"/>
      <c r="B159" s="27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</row>
    <row r="160" ht="12.75" customHeight="1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</row>
    <row r="161" ht="12.75" customHeight="1">
      <c r="A161" s="27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</row>
    <row r="162" ht="12.75" customHeight="1">
      <c r="A162" s="27"/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</row>
    <row r="163" ht="12.75" customHeight="1">
      <c r="A163" s="27"/>
      <c r="B163" s="27"/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</row>
    <row r="164" ht="12.75" customHeight="1">
      <c r="A164" s="27"/>
      <c r="B164" s="27"/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</row>
    <row r="165" ht="12.75" customHeight="1">
      <c r="A165" s="27"/>
      <c r="B165" s="27"/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</row>
    <row r="166" ht="12.75" customHeight="1">
      <c r="A166" s="27"/>
      <c r="B166" s="27"/>
      <c r="C166" s="27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</row>
    <row r="167" ht="12.75" customHeight="1">
      <c r="A167" s="27"/>
      <c r="B167" s="27"/>
      <c r="C167" s="27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</row>
    <row r="168" ht="12.75" customHeight="1">
      <c r="A168" s="27"/>
      <c r="B168" s="27"/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</row>
    <row r="169" ht="12.75" customHeight="1">
      <c r="A169" s="27"/>
      <c r="B169" s="27"/>
      <c r="C169" s="27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</row>
    <row r="170" ht="12.75" customHeight="1">
      <c r="A170" s="27"/>
      <c r="B170" s="27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</row>
    <row r="171" ht="12.75" customHeight="1">
      <c r="A171" s="27"/>
      <c r="B171" s="27"/>
      <c r="C171" s="27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</row>
    <row r="172" ht="12.75" customHeight="1">
      <c r="A172" s="27"/>
      <c r="B172" s="27"/>
      <c r="C172" s="27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</row>
    <row r="173" ht="12.75" customHeight="1">
      <c r="A173" s="27"/>
      <c r="B173" s="27"/>
      <c r="C173" s="27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</row>
    <row r="174" ht="12.75" customHeight="1">
      <c r="A174" s="27"/>
      <c r="B174" s="27"/>
      <c r="C174" s="27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</row>
    <row r="175" ht="12.75" customHeight="1">
      <c r="A175" s="27"/>
      <c r="B175" s="27"/>
      <c r="C175" s="27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</row>
    <row r="176" ht="12.75" customHeight="1">
      <c r="A176" s="27"/>
      <c r="B176" s="27"/>
      <c r="C176" s="27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</row>
    <row r="177" ht="12.75" customHeight="1">
      <c r="A177" s="27"/>
      <c r="B177" s="27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</row>
    <row r="178" ht="12.75" customHeight="1">
      <c r="A178" s="27"/>
      <c r="B178" s="27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</row>
    <row r="179" ht="12.75" customHeight="1">
      <c r="A179" s="27"/>
      <c r="B179" s="27"/>
      <c r="C179" s="27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</row>
    <row r="180" ht="12.75" customHeight="1">
      <c r="A180" s="27"/>
      <c r="B180" s="27"/>
      <c r="C180" s="27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</row>
    <row r="181" ht="12.75" customHeight="1">
      <c r="A181" s="27"/>
      <c r="B181" s="27"/>
      <c r="C181" s="27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</row>
    <row r="182" ht="12.75" customHeight="1">
      <c r="A182" s="27"/>
      <c r="B182" s="27"/>
      <c r="C182" s="27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</row>
    <row r="183" ht="12.75" customHeight="1">
      <c r="A183" s="27"/>
      <c r="B183" s="27"/>
      <c r="C183" s="27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</row>
    <row r="184" ht="12.75" customHeight="1">
      <c r="A184" s="27"/>
      <c r="B184" s="27"/>
      <c r="C184" s="27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</row>
    <row r="185" ht="12.75" customHeight="1">
      <c r="A185" s="27"/>
      <c r="B185" s="27"/>
      <c r="C185" s="27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</row>
    <row r="186" ht="12.75" customHeight="1">
      <c r="A186" s="27"/>
      <c r="B186" s="27"/>
      <c r="C186" s="27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</row>
    <row r="187" ht="12.75" customHeight="1">
      <c r="A187" s="27"/>
      <c r="B187" s="27"/>
      <c r="C187" s="27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</row>
    <row r="188" ht="12.75" customHeight="1">
      <c r="A188" s="27"/>
      <c r="B188" s="27"/>
      <c r="C188" s="27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</row>
    <row r="189" ht="12.75" customHeight="1">
      <c r="A189" s="27"/>
      <c r="B189" s="27"/>
      <c r="C189" s="27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</row>
    <row r="190" ht="12.75" customHeight="1">
      <c r="A190" s="27"/>
      <c r="B190" s="27"/>
      <c r="C190" s="27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</row>
    <row r="191" ht="12.75" customHeight="1">
      <c r="A191" s="27"/>
      <c r="B191" s="27"/>
      <c r="C191" s="27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</row>
    <row r="192" ht="12.75" customHeight="1">
      <c r="A192" s="27"/>
      <c r="B192" s="27"/>
      <c r="C192" s="27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</row>
    <row r="193" ht="12.75" customHeight="1">
      <c r="A193" s="27"/>
      <c r="B193" s="27"/>
      <c r="C193" s="27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</row>
    <row r="194" ht="12.75" customHeight="1">
      <c r="A194" s="27"/>
      <c r="B194" s="27"/>
      <c r="C194" s="27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</row>
    <row r="195" ht="12.75" customHeight="1">
      <c r="A195" s="27"/>
      <c r="B195" s="27"/>
      <c r="C195" s="27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</row>
    <row r="196" ht="12.75" customHeight="1">
      <c r="A196" s="27"/>
      <c r="B196" s="27"/>
      <c r="C196" s="27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</row>
    <row r="197" ht="12.75" customHeight="1">
      <c r="A197" s="27"/>
      <c r="B197" s="27"/>
      <c r="C197" s="27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</row>
    <row r="198" ht="12.75" customHeight="1">
      <c r="A198" s="27"/>
      <c r="B198" s="27"/>
      <c r="C198" s="27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</row>
    <row r="199" ht="12.75" customHeight="1">
      <c r="A199" s="27"/>
      <c r="B199" s="27"/>
      <c r="C199" s="27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</row>
    <row r="200" ht="12.75" customHeight="1">
      <c r="A200" s="27"/>
      <c r="B200" s="27"/>
      <c r="C200" s="27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</row>
    <row r="201" ht="12.75" customHeight="1">
      <c r="A201" s="27"/>
      <c r="B201" s="27"/>
      <c r="C201" s="27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</row>
    <row r="202" ht="12.75" customHeight="1">
      <c r="A202" s="27"/>
      <c r="B202" s="27"/>
      <c r="C202" s="27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</row>
    <row r="203" ht="12.75" customHeight="1">
      <c r="A203" s="27"/>
      <c r="B203" s="27"/>
      <c r="C203" s="27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</row>
    <row r="204" ht="12.75" customHeight="1">
      <c r="A204" s="27"/>
      <c r="B204" s="27"/>
      <c r="C204" s="27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</row>
    <row r="205" ht="12.75" customHeight="1">
      <c r="A205" s="27"/>
      <c r="B205" s="27"/>
      <c r="C205" s="27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</row>
    <row r="206" ht="12.75" customHeight="1">
      <c r="A206" s="27"/>
      <c r="B206" s="27"/>
      <c r="C206" s="27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</row>
    <row r="207" ht="12.75" customHeight="1">
      <c r="A207" s="27"/>
      <c r="B207" s="27"/>
      <c r="C207" s="27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</row>
    <row r="208" ht="12.75" customHeight="1">
      <c r="A208" s="27"/>
      <c r="B208" s="27"/>
      <c r="C208" s="27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</row>
    <row r="209" ht="12.75" customHeight="1">
      <c r="A209" s="27"/>
      <c r="B209" s="27"/>
      <c r="C209" s="27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</row>
    <row r="210" ht="12.75" customHeight="1">
      <c r="A210" s="27"/>
      <c r="B210" s="27"/>
      <c r="C210" s="27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</row>
    <row r="211" ht="12.75" customHeight="1">
      <c r="A211" s="27"/>
      <c r="B211" s="27"/>
      <c r="C211" s="27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</row>
    <row r="212" ht="12.75" customHeight="1">
      <c r="A212" s="27"/>
      <c r="B212" s="27"/>
      <c r="C212" s="27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</row>
    <row r="213" ht="12.75" customHeight="1">
      <c r="A213" s="27"/>
      <c r="B213" s="27"/>
      <c r="C213" s="27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</row>
    <row r="214" ht="12.75" customHeight="1">
      <c r="A214" s="27"/>
      <c r="B214" s="27"/>
      <c r="C214" s="27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</row>
    <row r="215" ht="12.75" customHeight="1">
      <c r="A215" s="27"/>
      <c r="B215" s="27"/>
      <c r="C215" s="27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</row>
    <row r="216" ht="12.75" customHeight="1">
      <c r="A216" s="27"/>
      <c r="B216" s="27"/>
      <c r="C216" s="27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</row>
    <row r="217" ht="12.75" customHeight="1">
      <c r="A217" s="27"/>
      <c r="B217" s="27"/>
      <c r="C217" s="27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</row>
    <row r="218" ht="12.75" customHeight="1">
      <c r="A218" s="27"/>
      <c r="B218" s="27"/>
      <c r="C218" s="27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</row>
    <row r="219" ht="12.75" customHeight="1">
      <c r="A219" s="27"/>
      <c r="B219" s="27"/>
      <c r="C219" s="27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</row>
    <row r="220" ht="12.75" customHeight="1">
      <c r="A220" s="27"/>
      <c r="B220" s="27"/>
      <c r="C220" s="27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</row>
    <row r="221" ht="12.75" customHeight="1">
      <c r="A221" s="27"/>
      <c r="B221" s="27"/>
      <c r="C221" s="27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</row>
    <row r="222" ht="12.75" customHeight="1">
      <c r="A222" s="27"/>
      <c r="B222" s="27"/>
      <c r="C222" s="27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</row>
    <row r="223" ht="12.75" customHeight="1">
      <c r="A223" s="27"/>
      <c r="B223" s="27"/>
      <c r="C223" s="27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</row>
    <row r="224" ht="12.75" customHeight="1">
      <c r="A224" s="27"/>
      <c r="B224" s="27"/>
      <c r="C224" s="27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</row>
    <row r="225" ht="12.75" customHeight="1">
      <c r="A225" s="27"/>
      <c r="B225" s="27"/>
      <c r="C225" s="27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</row>
    <row r="226" ht="12.75" customHeight="1">
      <c r="A226" s="27"/>
      <c r="B226" s="27"/>
      <c r="C226" s="27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</row>
    <row r="227" ht="12.75" customHeight="1">
      <c r="A227" s="27"/>
      <c r="B227" s="27"/>
      <c r="C227" s="27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</row>
    <row r="228" ht="12.75" customHeight="1">
      <c r="A228" s="27"/>
      <c r="B228" s="27"/>
      <c r="C228" s="27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</row>
    <row r="229" ht="12.75" customHeight="1">
      <c r="A229" s="27"/>
      <c r="B229" s="27"/>
      <c r="C229" s="27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</row>
    <row r="230" ht="12.75" customHeight="1">
      <c r="A230" s="27"/>
      <c r="B230" s="27"/>
      <c r="C230" s="27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</row>
    <row r="231" ht="12.75" customHeight="1">
      <c r="A231" s="27"/>
      <c r="B231" s="27"/>
      <c r="C231" s="27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</row>
    <row r="232" ht="12.75" customHeight="1">
      <c r="A232" s="27"/>
      <c r="B232" s="27"/>
      <c r="C232" s="27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</row>
    <row r="233" ht="12.75" customHeight="1">
      <c r="A233" s="27"/>
      <c r="B233" s="27"/>
      <c r="C233" s="27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</row>
    <row r="234" ht="12.75" customHeight="1">
      <c r="A234" s="27"/>
      <c r="B234" s="27"/>
      <c r="C234" s="27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</row>
    <row r="235" ht="12.75" customHeight="1">
      <c r="A235" s="27"/>
      <c r="B235" s="27"/>
      <c r="C235" s="27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</row>
    <row r="236" ht="12.75" customHeight="1">
      <c r="A236" s="27"/>
      <c r="B236" s="27"/>
      <c r="C236" s="27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</row>
    <row r="237" ht="12.75" customHeight="1">
      <c r="A237" s="27"/>
      <c r="B237" s="27"/>
      <c r="C237" s="27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</row>
    <row r="238" ht="12.75" customHeight="1">
      <c r="A238" s="27"/>
      <c r="B238" s="27"/>
      <c r="C238" s="27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</row>
    <row r="239" ht="12.75" customHeight="1">
      <c r="A239" s="27"/>
      <c r="B239" s="27"/>
      <c r="C239" s="27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</row>
    <row r="240" ht="12.75" customHeight="1">
      <c r="A240" s="27"/>
      <c r="B240" s="27"/>
      <c r="C240" s="27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</row>
    <row r="241" ht="12.75" customHeight="1">
      <c r="A241" s="27"/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</row>
    <row r="242" ht="12.75" customHeight="1">
      <c r="A242" s="27"/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</row>
    <row r="243" ht="12.75" customHeight="1">
      <c r="A243" s="27"/>
      <c r="B243" s="27"/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</row>
    <row r="244" ht="12.75" customHeight="1">
      <c r="A244" s="27"/>
      <c r="B244" s="27"/>
      <c r="C244" s="27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</row>
    <row r="245" ht="12.75" customHeight="1">
      <c r="A245" s="27"/>
      <c r="B245" s="27"/>
      <c r="C245" s="27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</row>
    <row r="246" ht="12.75" customHeight="1">
      <c r="A246" s="27"/>
      <c r="B246" s="27"/>
      <c r="C246" s="27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</row>
    <row r="247" ht="12.75" customHeight="1">
      <c r="A247" s="27"/>
      <c r="B247" s="27"/>
      <c r="C247" s="27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</row>
    <row r="248" ht="12.75" customHeight="1">
      <c r="A248" s="27"/>
      <c r="B248" s="27"/>
      <c r="C248" s="27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</row>
    <row r="249" ht="12.75" customHeight="1">
      <c r="A249" s="27"/>
      <c r="B249" s="27"/>
      <c r="C249" s="27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</row>
    <row r="250" ht="12.75" customHeight="1">
      <c r="A250" s="27"/>
      <c r="B250" s="27"/>
      <c r="C250" s="27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</row>
    <row r="251" ht="12.75" customHeight="1">
      <c r="A251" s="27"/>
      <c r="B251" s="27"/>
      <c r="C251" s="27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</row>
    <row r="252" ht="12.75" customHeight="1">
      <c r="A252" s="27"/>
      <c r="B252" s="27"/>
      <c r="C252" s="27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</row>
    <row r="253" ht="12.75" customHeight="1">
      <c r="A253" s="27"/>
      <c r="B253" s="27"/>
      <c r="C253" s="27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</row>
    <row r="254" ht="12.75" customHeight="1">
      <c r="A254" s="27"/>
      <c r="B254" s="27"/>
      <c r="C254" s="27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</row>
    <row r="255" ht="12.75" customHeight="1">
      <c r="A255" s="27"/>
      <c r="B255" s="27"/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</row>
    <row r="256" ht="12.75" customHeight="1">
      <c r="A256" s="27"/>
      <c r="B256" s="27"/>
      <c r="C256" s="27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</row>
    <row r="257" ht="12.75" customHeight="1">
      <c r="A257" s="27"/>
      <c r="B257" s="27"/>
      <c r="C257" s="27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</row>
    <row r="258" ht="12.75" customHeight="1">
      <c r="A258" s="27"/>
      <c r="B258" s="27"/>
      <c r="C258" s="27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</row>
    <row r="259" ht="12.75" customHeight="1">
      <c r="A259" s="27"/>
      <c r="B259" s="27"/>
      <c r="C259" s="27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</row>
    <row r="260" ht="12.75" customHeight="1">
      <c r="A260" s="27"/>
      <c r="B260" s="27"/>
      <c r="C260" s="27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</row>
    <row r="261" ht="12.75" customHeight="1">
      <c r="A261" s="27"/>
      <c r="B261" s="27"/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</row>
    <row r="262" ht="12.75" customHeight="1">
      <c r="A262" s="27"/>
      <c r="B262" s="27"/>
      <c r="C262" s="27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</row>
    <row r="263" ht="12.75" customHeight="1">
      <c r="A263" s="27"/>
      <c r="B263" s="27"/>
      <c r="C263" s="27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</row>
    <row r="264" ht="12.75" customHeight="1">
      <c r="A264" s="27"/>
      <c r="B264" s="27"/>
      <c r="C264" s="27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</row>
    <row r="265" ht="12.75" customHeight="1">
      <c r="A265" s="27"/>
      <c r="B265" s="27"/>
      <c r="C265" s="27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</row>
    <row r="266" ht="12.75" customHeight="1">
      <c r="A266" s="27"/>
      <c r="B266" s="27"/>
      <c r="C266" s="27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</row>
    <row r="267" ht="12.75" customHeight="1">
      <c r="A267" s="27"/>
      <c r="B267" s="27"/>
      <c r="C267" s="27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</row>
    <row r="268" ht="12.75" customHeight="1">
      <c r="A268" s="27"/>
      <c r="B268" s="27"/>
      <c r="C268" s="27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</row>
    <row r="269" ht="12.75" customHeight="1">
      <c r="A269" s="27"/>
      <c r="B269" s="27"/>
      <c r="C269" s="27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</row>
    <row r="270" ht="12.75" customHeight="1">
      <c r="A270" s="27"/>
      <c r="B270" s="27"/>
      <c r="C270" s="27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</row>
    <row r="271" ht="12.75" customHeight="1">
      <c r="A271" s="27"/>
      <c r="B271" s="27"/>
      <c r="C271" s="27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</row>
    <row r="272" ht="12.75" customHeight="1">
      <c r="A272" s="27"/>
      <c r="B272" s="27"/>
      <c r="C272" s="27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</row>
    <row r="273" ht="12.75" customHeight="1">
      <c r="A273" s="27"/>
      <c r="B273" s="27"/>
      <c r="C273" s="27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</row>
    <row r="274" ht="12.75" customHeight="1">
      <c r="A274" s="27"/>
      <c r="B274" s="27"/>
      <c r="C274" s="27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</row>
    <row r="275" ht="12.75" customHeight="1">
      <c r="A275" s="27"/>
      <c r="B275" s="27"/>
      <c r="C275" s="27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</row>
    <row r="276" ht="12.75" customHeight="1">
      <c r="A276" s="27"/>
      <c r="B276" s="27"/>
      <c r="C276" s="27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</row>
    <row r="277" ht="12.75" customHeight="1">
      <c r="A277" s="27"/>
      <c r="B277" s="27"/>
      <c r="C277" s="27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</row>
    <row r="278" ht="12.75" customHeight="1">
      <c r="A278" s="27"/>
      <c r="B278" s="27"/>
      <c r="C278" s="27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</row>
    <row r="279" ht="12.75" customHeight="1">
      <c r="A279" s="27"/>
      <c r="B279" s="27"/>
      <c r="C279" s="27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</row>
    <row r="280" ht="12.75" customHeight="1">
      <c r="A280" s="27"/>
      <c r="B280" s="27"/>
      <c r="C280" s="27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</row>
    <row r="281" ht="12.75" customHeight="1">
      <c r="A281" s="27"/>
      <c r="B281" s="27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</row>
    <row r="282" ht="12.75" customHeight="1">
      <c r="A282" s="27"/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</row>
    <row r="283" ht="12.75" customHeight="1">
      <c r="A283" s="27"/>
      <c r="B283" s="27"/>
      <c r="C283" s="27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</row>
    <row r="284" ht="12.75" customHeight="1">
      <c r="A284" s="27"/>
      <c r="B284" s="27"/>
      <c r="C284" s="27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</row>
    <row r="285" ht="12.75" customHeight="1">
      <c r="A285" s="27"/>
      <c r="B285" s="27"/>
      <c r="C285" s="27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</row>
    <row r="286" ht="12.75" customHeight="1">
      <c r="A286" s="27"/>
      <c r="B286" s="27"/>
      <c r="C286" s="27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</row>
    <row r="287" ht="12.75" customHeight="1">
      <c r="A287" s="27"/>
      <c r="B287" s="27"/>
      <c r="C287" s="27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</row>
    <row r="288" ht="12.75" customHeight="1">
      <c r="A288" s="27"/>
      <c r="B288" s="27"/>
      <c r="C288" s="27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</row>
    <row r="289" ht="12.75" customHeight="1">
      <c r="A289" s="27"/>
      <c r="B289" s="27"/>
      <c r="C289" s="27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</row>
    <row r="290" ht="12.75" customHeight="1">
      <c r="A290" s="27"/>
      <c r="B290" s="27"/>
      <c r="C290" s="27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</row>
    <row r="291" ht="12.75" customHeight="1">
      <c r="A291" s="27"/>
      <c r="B291" s="27"/>
      <c r="C291" s="27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</row>
    <row r="292" ht="12.75" customHeight="1">
      <c r="A292" s="27"/>
      <c r="B292" s="27"/>
      <c r="C292" s="27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</row>
    <row r="293" ht="12.75" customHeight="1">
      <c r="A293" s="27"/>
      <c r="B293" s="27"/>
      <c r="C293" s="27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</row>
    <row r="294" ht="12.75" customHeight="1">
      <c r="A294" s="27"/>
      <c r="B294" s="27"/>
      <c r="C294" s="27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</row>
    <row r="295" ht="12.75" customHeight="1">
      <c r="A295" s="27"/>
      <c r="B295" s="27"/>
      <c r="C295" s="27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</row>
    <row r="296" ht="12.75" customHeight="1">
      <c r="A296" s="27"/>
      <c r="B296" s="27"/>
      <c r="C296" s="27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</row>
    <row r="297" ht="12.75" customHeight="1">
      <c r="A297" s="27"/>
      <c r="B297" s="27"/>
      <c r="C297" s="27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</row>
    <row r="298" ht="12.75" customHeight="1">
      <c r="A298" s="27"/>
      <c r="B298" s="27"/>
      <c r="C298" s="27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</row>
    <row r="299" ht="12.75" customHeight="1">
      <c r="A299" s="27"/>
      <c r="B299" s="27"/>
      <c r="C299" s="27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</row>
    <row r="300" ht="12.75" customHeight="1">
      <c r="A300" s="27"/>
      <c r="B300" s="27"/>
      <c r="C300" s="27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</row>
    <row r="301" ht="12.75" customHeight="1">
      <c r="A301" s="27"/>
      <c r="B301" s="27"/>
      <c r="C301" s="27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</row>
    <row r="302" ht="12.75" customHeight="1">
      <c r="A302" s="27"/>
      <c r="B302" s="27"/>
      <c r="C302" s="27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</row>
    <row r="303" ht="12.75" customHeight="1">
      <c r="A303" s="27"/>
      <c r="B303" s="27"/>
      <c r="C303" s="27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</row>
    <row r="304" ht="12.75" customHeight="1">
      <c r="A304" s="27"/>
      <c r="B304" s="27"/>
      <c r="C304" s="27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</row>
    <row r="305" ht="12.75" customHeight="1">
      <c r="A305" s="27"/>
      <c r="B305" s="27"/>
      <c r="C305" s="27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</row>
    <row r="306" ht="12.75" customHeight="1">
      <c r="A306" s="27"/>
      <c r="B306" s="27"/>
      <c r="C306" s="27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</row>
    <row r="307" ht="12.75" customHeight="1">
      <c r="A307" s="27"/>
      <c r="B307" s="27"/>
      <c r="C307" s="27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</row>
    <row r="308" ht="12.75" customHeight="1">
      <c r="A308" s="27"/>
      <c r="B308" s="27"/>
      <c r="C308" s="27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</row>
    <row r="309" ht="12.75" customHeight="1">
      <c r="A309" s="27"/>
      <c r="B309" s="27"/>
      <c r="C309" s="27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</row>
    <row r="310" ht="12.75" customHeight="1">
      <c r="A310" s="27"/>
      <c r="B310" s="27"/>
      <c r="C310" s="27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</row>
    <row r="311" ht="12.75" customHeight="1">
      <c r="A311" s="27"/>
      <c r="B311" s="27"/>
      <c r="C311" s="27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</row>
    <row r="312" ht="12.75" customHeight="1">
      <c r="A312" s="27"/>
      <c r="B312" s="27"/>
      <c r="C312" s="27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</row>
    <row r="313" ht="12.75" customHeight="1">
      <c r="A313" s="27"/>
      <c r="B313" s="27"/>
      <c r="C313" s="27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</row>
    <row r="314" ht="12.75" customHeight="1">
      <c r="A314" s="27"/>
      <c r="B314" s="27"/>
      <c r="C314" s="27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</row>
    <row r="315" ht="12.75" customHeight="1">
      <c r="A315" s="27"/>
      <c r="B315" s="27"/>
      <c r="C315" s="27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</row>
    <row r="316" ht="12.75" customHeight="1">
      <c r="A316" s="27"/>
      <c r="B316" s="27"/>
      <c r="C316" s="27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</row>
    <row r="317" ht="12.75" customHeight="1">
      <c r="A317" s="27"/>
      <c r="B317" s="27"/>
      <c r="C317" s="27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</row>
    <row r="318" ht="12.75" customHeight="1">
      <c r="A318" s="27"/>
      <c r="B318" s="27"/>
      <c r="C318" s="27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</row>
    <row r="319" ht="12.75" customHeight="1">
      <c r="A319" s="27"/>
      <c r="B319" s="27"/>
      <c r="C319" s="27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</row>
    <row r="320" ht="12.75" customHeight="1">
      <c r="A320" s="27"/>
      <c r="B320" s="27"/>
      <c r="C320" s="27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</row>
    <row r="321" ht="12.75" customHeight="1">
      <c r="A321" s="27"/>
      <c r="B321" s="27"/>
      <c r="C321" s="27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</row>
    <row r="322" ht="12.75" customHeight="1">
      <c r="A322" s="27"/>
      <c r="B322" s="27"/>
      <c r="C322" s="27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</row>
    <row r="323" ht="12.75" customHeight="1">
      <c r="A323" s="27"/>
      <c r="B323" s="27"/>
      <c r="C323" s="27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</row>
    <row r="324" ht="12.75" customHeight="1">
      <c r="A324" s="27"/>
      <c r="B324" s="27"/>
      <c r="C324" s="27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</row>
    <row r="325" ht="12.75" customHeight="1">
      <c r="A325" s="27"/>
      <c r="B325" s="27"/>
      <c r="C325" s="27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</row>
    <row r="326" ht="12.75" customHeight="1">
      <c r="A326" s="27"/>
      <c r="B326" s="27"/>
      <c r="C326" s="27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</row>
    <row r="327" ht="12.75" customHeight="1">
      <c r="A327" s="27"/>
      <c r="B327" s="27"/>
      <c r="C327" s="27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</row>
    <row r="328" ht="12.75" customHeight="1">
      <c r="A328" s="27"/>
      <c r="B328" s="27"/>
      <c r="C328" s="27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7"/>
      <c r="W328" s="27"/>
      <c r="X328" s="27"/>
      <c r="Y328" s="27"/>
      <c r="Z328" s="27"/>
    </row>
    <row r="329" ht="12.75" customHeight="1">
      <c r="A329" s="27"/>
      <c r="B329" s="27"/>
      <c r="C329" s="27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V329" s="27"/>
      <c r="W329" s="27"/>
      <c r="X329" s="27"/>
      <c r="Y329" s="27"/>
      <c r="Z329" s="27"/>
    </row>
    <row r="330" ht="12.75" customHeight="1">
      <c r="A330" s="27"/>
      <c r="B330" s="27"/>
      <c r="C330" s="27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7"/>
      <c r="W330" s="27"/>
      <c r="X330" s="27"/>
      <c r="Y330" s="27"/>
      <c r="Z330" s="27"/>
    </row>
    <row r="331" ht="12.75" customHeight="1">
      <c r="A331" s="27"/>
      <c r="B331" s="27"/>
      <c r="C331" s="27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V331" s="27"/>
      <c r="W331" s="27"/>
      <c r="X331" s="27"/>
      <c r="Y331" s="27"/>
      <c r="Z331" s="27"/>
    </row>
    <row r="332" ht="12.75" customHeight="1">
      <c r="A332" s="27"/>
      <c r="B332" s="27"/>
      <c r="C332" s="27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7"/>
      <c r="W332" s="27"/>
      <c r="X332" s="27"/>
      <c r="Y332" s="27"/>
      <c r="Z332" s="27"/>
    </row>
    <row r="333" ht="12.75" customHeight="1">
      <c r="A333" s="27"/>
      <c r="B333" s="27"/>
      <c r="C333" s="27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V333" s="27"/>
      <c r="W333" s="27"/>
      <c r="X333" s="27"/>
      <c r="Y333" s="27"/>
      <c r="Z333" s="27"/>
    </row>
    <row r="334" ht="12.75" customHeight="1">
      <c r="A334" s="27"/>
      <c r="B334" s="27"/>
      <c r="C334" s="27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7"/>
      <c r="W334" s="27"/>
      <c r="X334" s="27"/>
      <c r="Y334" s="27"/>
      <c r="Z334" s="27"/>
    </row>
    <row r="335" ht="12.75" customHeight="1">
      <c r="A335" s="27"/>
      <c r="B335" s="27"/>
      <c r="C335" s="27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V335" s="27"/>
      <c r="W335" s="27"/>
      <c r="X335" s="27"/>
      <c r="Y335" s="27"/>
      <c r="Z335" s="27"/>
    </row>
    <row r="336" ht="12.75" customHeight="1">
      <c r="A336" s="27"/>
      <c r="B336" s="27"/>
      <c r="C336" s="27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7"/>
      <c r="W336" s="27"/>
      <c r="X336" s="27"/>
      <c r="Y336" s="27"/>
      <c r="Z336" s="27"/>
    </row>
    <row r="337" ht="12.75" customHeight="1">
      <c r="A337" s="27"/>
      <c r="B337" s="27"/>
      <c r="C337" s="27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V337" s="27"/>
      <c r="W337" s="27"/>
      <c r="X337" s="27"/>
      <c r="Y337" s="27"/>
      <c r="Z337" s="27"/>
    </row>
    <row r="338" ht="12.75" customHeight="1">
      <c r="A338" s="27"/>
      <c r="B338" s="27"/>
      <c r="C338" s="27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7"/>
      <c r="W338" s="27"/>
      <c r="X338" s="27"/>
      <c r="Y338" s="27"/>
      <c r="Z338" s="27"/>
    </row>
    <row r="339" ht="12.75" customHeight="1">
      <c r="A339" s="27"/>
      <c r="B339" s="27"/>
      <c r="C339" s="27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V339" s="27"/>
      <c r="W339" s="27"/>
      <c r="X339" s="27"/>
      <c r="Y339" s="27"/>
      <c r="Z339" s="27"/>
    </row>
    <row r="340" ht="12.75" customHeight="1">
      <c r="A340" s="27"/>
      <c r="B340" s="27"/>
      <c r="C340" s="27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7"/>
      <c r="W340" s="27"/>
      <c r="X340" s="27"/>
      <c r="Y340" s="27"/>
      <c r="Z340" s="27"/>
    </row>
    <row r="341" ht="12.75" customHeight="1">
      <c r="A341" s="27"/>
      <c r="B341" s="27"/>
      <c r="C341" s="27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V341" s="27"/>
      <c r="W341" s="27"/>
      <c r="X341" s="27"/>
      <c r="Y341" s="27"/>
      <c r="Z341" s="27"/>
    </row>
    <row r="342" ht="12.75" customHeight="1">
      <c r="A342" s="27"/>
      <c r="B342" s="27"/>
      <c r="C342" s="27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7"/>
      <c r="W342" s="27"/>
      <c r="X342" s="27"/>
      <c r="Y342" s="27"/>
      <c r="Z342" s="27"/>
    </row>
    <row r="343" ht="12.75" customHeight="1">
      <c r="A343" s="27"/>
      <c r="B343" s="27"/>
      <c r="C343" s="27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V343" s="27"/>
      <c r="W343" s="27"/>
      <c r="X343" s="27"/>
      <c r="Y343" s="27"/>
      <c r="Z343" s="27"/>
    </row>
    <row r="344" ht="12.75" customHeight="1">
      <c r="A344" s="27"/>
      <c r="B344" s="27"/>
      <c r="C344" s="27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7"/>
      <c r="W344" s="27"/>
      <c r="X344" s="27"/>
      <c r="Y344" s="27"/>
      <c r="Z344" s="27"/>
    </row>
    <row r="345" ht="12.75" customHeight="1">
      <c r="A345" s="27"/>
      <c r="B345" s="27"/>
      <c r="C345" s="27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V345" s="27"/>
      <c r="W345" s="27"/>
      <c r="X345" s="27"/>
      <c r="Y345" s="27"/>
      <c r="Z345" s="27"/>
    </row>
    <row r="346" ht="12.75" customHeight="1">
      <c r="A346" s="27"/>
      <c r="B346" s="27"/>
      <c r="C346" s="27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7"/>
      <c r="W346" s="27"/>
      <c r="X346" s="27"/>
      <c r="Y346" s="27"/>
      <c r="Z346" s="27"/>
    </row>
    <row r="347" ht="12.75" customHeight="1">
      <c r="A347" s="27"/>
      <c r="B347" s="27"/>
      <c r="C347" s="27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V347" s="27"/>
      <c r="W347" s="27"/>
      <c r="X347" s="27"/>
      <c r="Y347" s="27"/>
      <c r="Z347" s="27"/>
    </row>
    <row r="348" ht="12.75" customHeight="1">
      <c r="A348" s="27"/>
      <c r="B348" s="27"/>
      <c r="C348" s="27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7"/>
      <c r="W348" s="27"/>
      <c r="X348" s="27"/>
      <c r="Y348" s="27"/>
      <c r="Z348" s="27"/>
    </row>
    <row r="349" ht="12.75" customHeight="1">
      <c r="A349" s="27"/>
      <c r="B349" s="27"/>
      <c r="C349" s="27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V349" s="27"/>
      <c r="W349" s="27"/>
      <c r="X349" s="27"/>
      <c r="Y349" s="27"/>
      <c r="Z349" s="27"/>
    </row>
    <row r="350" ht="12.75" customHeight="1">
      <c r="A350" s="27"/>
      <c r="B350" s="27"/>
      <c r="C350" s="27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7"/>
      <c r="W350" s="27"/>
      <c r="X350" s="27"/>
      <c r="Y350" s="27"/>
      <c r="Z350" s="27"/>
    </row>
    <row r="351" ht="12.75" customHeight="1">
      <c r="A351" s="27"/>
      <c r="B351" s="27"/>
      <c r="C351" s="27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V351" s="27"/>
      <c r="W351" s="27"/>
      <c r="X351" s="27"/>
      <c r="Y351" s="27"/>
      <c r="Z351" s="27"/>
    </row>
    <row r="352" ht="12.75" customHeight="1">
      <c r="A352" s="27"/>
      <c r="B352" s="27"/>
      <c r="C352" s="27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7"/>
      <c r="W352" s="27"/>
      <c r="X352" s="27"/>
      <c r="Y352" s="27"/>
      <c r="Z352" s="27"/>
    </row>
    <row r="353" ht="12.75" customHeight="1">
      <c r="A353" s="27"/>
      <c r="B353" s="27"/>
      <c r="C353" s="27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V353" s="27"/>
      <c r="W353" s="27"/>
      <c r="X353" s="27"/>
      <c r="Y353" s="27"/>
      <c r="Z353" s="27"/>
    </row>
    <row r="354" ht="12.75" customHeight="1">
      <c r="A354" s="27"/>
      <c r="B354" s="27"/>
      <c r="C354" s="27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7"/>
      <c r="W354" s="27"/>
      <c r="X354" s="27"/>
      <c r="Y354" s="27"/>
      <c r="Z354" s="27"/>
    </row>
    <row r="355" ht="12.75" customHeight="1">
      <c r="A355" s="27"/>
      <c r="B355" s="27"/>
      <c r="C355" s="27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V355" s="27"/>
      <c r="W355" s="27"/>
      <c r="X355" s="27"/>
      <c r="Y355" s="27"/>
      <c r="Z355" s="27"/>
    </row>
    <row r="356" ht="12.75" customHeight="1">
      <c r="A356" s="27"/>
      <c r="B356" s="27"/>
      <c r="C356" s="27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7"/>
      <c r="W356" s="27"/>
      <c r="X356" s="27"/>
      <c r="Y356" s="27"/>
      <c r="Z356" s="27"/>
    </row>
    <row r="357" ht="12.75" customHeight="1">
      <c r="A357" s="27"/>
      <c r="B357" s="27"/>
      <c r="C357" s="27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/>
      <c r="U357" s="27"/>
      <c r="V357" s="27"/>
      <c r="W357" s="27"/>
      <c r="X357" s="27"/>
      <c r="Y357" s="27"/>
      <c r="Z357" s="27"/>
    </row>
    <row r="358" ht="12.75" customHeight="1">
      <c r="A358" s="27"/>
      <c r="B358" s="27"/>
      <c r="C358" s="27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7"/>
      <c r="W358" s="27"/>
      <c r="X358" s="27"/>
      <c r="Y358" s="27"/>
      <c r="Z358" s="27"/>
    </row>
    <row r="359" ht="12.75" customHeight="1">
      <c r="A359" s="27"/>
      <c r="B359" s="27"/>
      <c r="C359" s="27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/>
      <c r="U359" s="27"/>
      <c r="V359" s="27"/>
      <c r="W359" s="27"/>
      <c r="X359" s="27"/>
      <c r="Y359" s="27"/>
      <c r="Z359" s="27"/>
    </row>
    <row r="360" ht="12.75" customHeight="1">
      <c r="A360" s="27"/>
      <c r="B360" s="27"/>
      <c r="C360" s="27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7"/>
      <c r="W360" s="27"/>
      <c r="X360" s="27"/>
      <c r="Y360" s="27"/>
      <c r="Z360" s="27"/>
    </row>
    <row r="361" ht="12.75" customHeight="1">
      <c r="A361" s="27"/>
      <c r="B361" s="27"/>
      <c r="C361" s="27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/>
      <c r="U361" s="27"/>
      <c r="V361" s="27"/>
      <c r="W361" s="27"/>
      <c r="X361" s="27"/>
      <c r="Y361" s="27"/>
      <c r="Z361" s="27"/>
    </row>
    <row r="362" ht="12.75" customHeight="1">
      <c r="A362" s="27"/>
      <c r="B362" s="27"/>
      <c r="C362" s="27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7"/>
      <c r="W362" s="27"/>
      <c r="X362" s="27"/>
      <c r="Y362" s="27"/>
      <c r="Z362" s="27"/>
    </row>
    <row r="363" ht="12.75" customHeight="1">
      <c r="A363" s="27"/>
      <c r="B363" s="27"/>
      <c r="C363" s="27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/>
      <c r="U363" s="27"/>
      <c r="V363" s="27"/>
      <c r="W363" s="27"/>
      <c r="X363" s="27"/>
      <c r="Y363" s="27"/>
      <c r="Z363" s="27"/>
    </row>
    <row r="364" ht="12.75" customHeight="1">
      <c r="A364" s="27"/>
      <c r="B364" s="27"/>
      <c r="C364" s="27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7"/>
      <c r="W364" s="27"/>
      <c r="X364" s="27"/>
      <c r="Y364" s="27"/>
      <c r="Z364" s="27"/>
    </row>
    <row r="365" ht="12.75" customHeight="1">
      <c r="A365" s="27"/>
      <c r="B365" s="27"/>
      <c r="C365" s="27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/>
      <c r="U365" s="27"/>
      <c r="V365" s="27"/>
      <c r="W365" s="27"/>
      <c r="X365" s="27"/>
      <c r="Y365" s="27"/>
      <c r="Z365" s="27"/>
    </row>
    <row r="366" ht="12.75" customHeight="1">
      <c r="A366" s="27"/>
      <c r="B366" s="27"/>
      <c r="C366" s="27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7"/>
      <c r="W366" s="27"/>
      <c r="X366" s="27"/>
      <c r="Y366" s="27"/>
      <c r="Z366" s="27"/>
    </row>
    <row r="367" ht="12.75" customHeight="1">
      <c r="A367" s="27"/>
      <c r="B367" s="27"/>
      <c r="C367" s="27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/>
      <c r="U367" s="27"/>
      <c r="V367" s="27"/>
      <c r="W367" s="27"/>
      <c r="X367" s="27"/>
      <c r="Y367" s="27"/>
      <c r="Z367" s="27"/>
    </row>
    <row r="368" ht="12.75" customHeight="1">
      <c r="A368" s="27"/>
      <c r="B368" s="27"/>
      <c r="C368" s="27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7"/>
      <c r="W368" s="27"/>
      <c r="X368" s="27"/>
      <c r="Y368" s="27"/>
      <c r="Z368" s="27"/>
    </row>
    <row r="369" ht="12.75" customHeight="1">
      <c r="A369" s="27"/>
      <c r="B369" s="27"/>
      <c r="C369" s="27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/>
      <c r="U369" s="27"/>
      <c r="V369" s="27"/>
      <c r="W369" s="27"/>
      <c r="X369" s="27"/>
      <c r="Y369" s="27"/>
      <c r="Z369" s="27"/>
    </row>
    <row r="370" ht="12.75" customHeight="1">
      <c r="A370" s="27"/>
      <c r="B370" s="27"/>
      <c r="C370" s="27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7"/>
      <c r="W370" s="27"/>
      <c r="X370" s="27"/>
      <c r="Y370" s="27"/>
      <c r="Z370" s="27"/>
    </row>
    <row r="371" ht="12.75" customHeight="1">
      <c r="A371" s="27"/>
      <c r="B371" s="27"/>
      <c r="C371" s="27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/>
      <c r="U371" s="27"/>
      <c r="V371" s="27"/>
      <c r="W371" s="27"/>
      <c r="X371" s="27"/>
      <c r="Y371" s="27"/>
      <c r="Z371" s="27"/>
    </row>
    <row r="372" ht="12.75" customHeight="1">
      <c r="A372" s="27"/>
      <c r="B372" s="27"/>
      <c r="C372" s="27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7"/>
      <c r="W372" s="27"/>
      <c r="X372" s="27"/>
      <c r="Y372" s="27"/>
      <c r="Z372" s="27"/>
    </row>
    <row r="373" ht="12.75" customHeight="1">
      <c r="A373" s="27"/>
      <c r="B373" s="27"/>
      <c r="C373" s="27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V373" s="27"/>
      <c r="W373" s="27"/>
      <c r="X373" s="27"/>
      <c r="Y373" s="27"/>
      <c r="Z373" s="27"/>
    </row>
    <row r="374" ht="12.75" customHeight="1">
      <c r="A374" s="27"/>
      <c r="B374" s="27"/>
      <c r="C374" s="27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7"/>
      <c r="W374" s="27"/>
      <c r="X374" s="27"/>
      <c r="Y374" s="27"/>
      <c r="Z374" s="27"/>
    </row>
    <row r="375" ht="12.75" customHeight="1">
      <c r="A375" s="27"/>
      <c r="B375" s="27"/>
      <c r="C375" s="27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/>
      <c r="U375" s="27"/>
      <c r="V375" s="27"/>
      <c r="W375" s="27"/>
      <c r="X375" s="27"/>
      <c r="Y375" s="27"/>
      <c r="Z375" s="27"/>
    </row>
    <row r="376" ht="12.75" customHeight="1">
      <c r="A376" s="27"/>
      <c r="B376" s="27"/>
      <c r="C376" s="27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7"/>
      <c r="W376" s="27"/>
      <c r="X376" s="27"/>
      <c r="Y376" s="27"/>
      <c r="Z376" s="27"/>
    </row>
    <row r="377" ht="12.75" customHeight="1">
      <c r="A377" s="27"/>
      <c r="B377" s="27"/>
      <c r="C377" s="27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/>
      <c r="U377" s="27"/>
      <c r="V377" s="27"/>
      <c r="W377" s="27"/>
      <c r="X377" s="27"/>
      <c r="Y377" s="27"/>
      <c r="Z377" s="27"/>
    </row>
    <row r="378" ht="12.75" customHeight="1">
      <c r="A378" s="27"/>
      <c r="B378" s="27"/>
      <c r="C378" s="27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7"/>
      <c r="W378" s="27"/>
      <c r="X378" s="27"/>
      <c r="Y378" s="27"/>
      <c r="Z378" s="27"/>
    </row>
    <row r="379" ht="12.75" customHeight="1">
      <c r="A379" s="27"/>
      <c r="B379" s="27"/>
      <c r="C379" s="27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/>
      <c r="U379" s="27"/>
      <c r="V379" s="27"/>
      <c r="W379" s="27"/>
      <c r="X379" s="27"/>
      <c r="Y379" s="27"/>
      <c r="Z379" s="27"/>
    </row>
    <row r="380" ht="12.75" customHeight="1">
      <c r="A380" s="27"/>
      <c r="B380" s="27"/>
      <c r="C380" s="27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7"/>
      <c r="W380" s="27"/>
      <c r="X380" s="27"/>
      <c r="Y380" s="27"/>
      <c r="Z380" s="27"/>
    </row>
    <row r="381" ht="12.75" customHeight="1">
      <c r="A381" s="27"/>
      <c r="B381" s="27"/>
      <c r="C381" s="27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/>
      <c r="U381" s="27"/>
      <c r="V381" s="27"/>
      <c r="W381" s="27"/>
      <c r="X381" s="27"/>
      <c r="Y381" s="27"/>
      <c r="Z381" s="27"/>
    </row>
    <row r="382" ht="12.75" customHeight="1">
      <c r="A382" s="27"/>
      <c r="B382" s="27"/>
      <c r="C382" s="27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7"/>
      <c r="W382" s="27"/>
      <c r="X382" s="27"/>
      <c r="Y382" s="27"/>
      <c r="Z382" s="27"/>
    </row>
    <row r="383" ht="12.75" customHeight="1">
      <c r="A383" s="27"/>
      <c r="B383" s="27"/>
      <c r="C383" s="27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/>
      <c r="U383" s="27"/>
      <c r="V383" s="27"/>
      <c r="W383" s="27"/>
      <c r="X383" s="27"/>
      <c r="Y383" s="27"/>
      <c r="Z383" s="27"/>
    </row>
    <row r="384" ht="12.75" customHeight="1">
      <c r="A384" s="27"/>
      <c r="B384" s="27"/>
      <c r="C384" s="27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7"/>
      <c r="W384" s="27"/>
      <c r="X384" s="27"/>
      <c r="Y384" s="27"/>
      <c r="Z384" s="27"/>
    </row>
    <row r="385" ht="12.75" customHeight="1">
      <c r="A385" s="27"/>
      <c r="B385" s="27"/>
      <c r="C385" s="27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/>
      <c r="U385" s="27"/>
      <c r="V385" s="27"/>
      <c r="W385" s="27"/>
      <c r="X385" s="27"/>
      <c r="Y385" s="27"/>
      <c r="Z385" s="27"/>
    </row>
    <row r="386" ht="12.75" customHeight="1">
      <c r="A386" s="27"/>
      <c r="B386" s="27"/>
      <c r="C386" s="27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7"/>
      <c r="W386" s="27"/>
      <c r="X386" s="27"/>
      <c r="Y386" s="27"/>
      <c r="Z386" s="27"/>
    </row>
    <row r="387" ht="12.75" customHeight="1">
      <c r="A387" s="27"/>
      <c r="B387" s="27"/>
      <c r="C387" s="27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/>
      <c r="U387" s="27"/>
      <c r="V387" s="27"/>
      <c r="W387" s="27"/>
      <c r="X387" s="27"/>
      <c r="Y387" s="27"/>
      <c r="Z387" s="27"/>
    </row>
    <row r="388" ht="12.75" customHeight="1">
      <c r="A388" s="27"/>
      <c r="B388" s="27"/>
      <c r="C388" s="27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7"/>
      <c r="W388" s="27"/>
      <c r="X388" s="27"/>
      <c r="Y388" s="27"/>
      <c r="Z388" s="27"/>
    </row>
    <row r="389" ht="12.75" customHeight="1">
      <c r="A389" s="27"/>
      <c r="B389" s="27"/>
      <c r="C389" s="27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/>
      <c r="U389" s="27"/>
      <c r="V389" s="27"/>
      <c r="W389" s="27"/>
      <c r="X389" s="27"/>
      <c r="Y389" s="27"/>
      <c r="Z389" s="27"/>
    </row>
    <row r="390" ht="12.75" customHeight="1">
      <c r="A390" s="27"/>
      <c r="B390" s="27"/>
      <c r="C390" s="27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7"/>
      <c r="W390" s="27"/>
      <c r="X390" s="27"/>
      <c r="Y390" s="27"/>
      <c r="Z390" s="27"/>
    </row>
    <row r="391" ht="12.75" customHeight="1">
      <c r="A391" s="27"/>
      <c r="B391" s="27"/>
      <c r="C391" s="27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/>
      <c r="U391" s="27"/>
      <c r="V391" s="27"/>
      <c r="W391" s="27"/>
      <c r="X391" s="27"/>
      <c r="Y391" s="27"/>
      <c r="Z391" s="27"/>
    </row>
    <row r="392" ht="12.75" customHeight="1">
      <c r="A392" s="27"/>
      <c r="B392" s="27"/>
      <c r="C392" s="27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7"/>
      <c r="W392" s="27"/>
      <c r="X392" s="27"/>
      <c r="Y392" s="27"/>
      <c r="Z392" s="27"/>
    </row>
    <row r="393" ht="12.75" customHeight="1">
      <c r="A393" s="27"/>
      <c r="B393" s="27"/>
      <c r="C393" s="27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/>
      <c r="U393" s="27"/>
      <c r="V393" s="27"/>
      <c r="W393" s="27"/>
      <c r="X393" s="27"/>
      <c r="Y393" s="27"/>
      <c r="Z393" s="27"/>
    </row>
    <row r="394" ht="12.75" customHeight="1">
      <c r="A394" s="27"/>
      <c r="B394" s="27"/>
      <c r="C394" s="27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7"/>
      <c r="W394" s="27"/>
      <c r="X394" s="27"/>
      <c r="Y394" s="27"/>
      <c r="Z394" s="27"/>
    </row>
    <row r="395" ht="12.75" customHeight="1">
      <c r="A395" s="27"/>
      <c r="B395" s="27"/>
      <c r="C395" s="27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/>
      <c r="U395" s="27"/>
      <c r="V395" s="27"/>
      <c r="W395" s="27"/>
      <c r="X395" s="27"/>
      <c r="Y395" s="27"/>
      <c r="Z395" s="27"/>
    </row>
    <row r="396" ht="12.75" customHeight="1">
      <c r="A396" s="27"/>
      <c r="B396" s="27"/>
      <c r="C396" s="27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7"/>
      <c r="W396" s="27"/>
      <c r="X396" s="27"/>
      <c r="Y396" s="27"/>
      <c r="Z396" s="27"/>
    </row>
    <row r="397" ht="12.75" customHeight="1">
      <c r="A397" s="27"/>
      <c r="B397" s="27"/>
      <c r="C397" s="27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/>
      <c r="U397" s="27"/>
      <c r="V397" s="27"/>
      <c r="W397" s="27"/>
      <c r="X397" s="27"/>
      <c r="Y397" s="27"/>
      <c r="Z397" s="27"/>
    </row>
    <row r="398" ht="12.75" customHeight="1">
      <c r="A398" s="27"/>
      <c r="B398" s="27"/>
      <c r="C398" s="27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7"/>
      <c r="W398" s="27"/>
      <c r="X398" s="27"/>
      <c r="Y398" s="27"/>
      <c r="Z398" s="27"/>
    </row>
    <row r="399" ht="12.75" customHeight="1">
      <c r="A399" s="27"/>
      <c r="B399" s="27"/>
      <c r="C399" s="27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/>
      <c r="U399" s="27"/>
      <c r="V399" s="27"/>
      <c r="W399" s="27"/>
      <c r="X399" s="27"/>
      <c r="Y399" s="27"/>
      <c r="Z399" s="27"/>
    </row>
    <row r="400" ht="12.75" customHeight="1">
      <c r="A400" s="27"/>
      <c r="B400" s="27"/>
      <c r="C400" s="27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7"/>
      <c r="W400" s="27"/>
      <c r="X400" s="27"/>
      <c r="Y400" s="27"/>
      <c r="Z400" s="27"/>
    </row>
    <row r="401" ht="12.75" customHeight="1">
      <c r="A401" s="27"/>
      <c r="B401" s="27"/>
      <c r="C401" s="27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/>
      <c r="U401" s="27"/>
      <c r="V401" s="27"/>
      <c r="W401" s="27"/>
      <c r="X401" s="27"/>
      <c r="Y401" s="27"/>
      <c r="Z401" s="27"/>
    </row>
    <row r="402" ht="12.75" customHeight="1">
      <c r="A402" s="27"/>
      <c r="B402" s="27"/>
      <c r="C402" s="27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7"/>
      <c r="W402" s="27"/>
      <c r="X402" s="27"/>
      <c r="Y402" s="27"/>
      <c r="Z402" s="27"/>
    </row>
    <row r="403" ht="12.75" customHeight="1">
      <c r="A403" s="27"/>
      <c r="B403" s="27"/>
      <c r="C403" s="27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/>
      <c r="U403" s="27"/>
      <c r="V403" s="27"/>
      <c r="W403" s="27"/>
      <c r="X403" s="27"/>
      <c r="Y403" s="27"/>
      <c r="Z403" s="27"/>
    </row>
    <row r="404" ht="12.75" customHeight="1">
      <c r="A404" s="27"/>
      <c r="B404" s="27"/>
      <c r="C404" s="27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7"/>
      <c r="W404" s="27"/>
      <c r="X404" s="27"/>
      <c r="Y404" s="27"/>
      <c r="Z404" s="27"/>
    </row>
    <row r="405" ht="12.75" customHeight="1">
      <c r="A405" s="27"/>
      <c r="B405" s="27"/>
      <c r="C405" s="27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/>
      <c r="U405" s="27"/>
      <c r="V405" s="27"/>
      <c r="W405" s="27"/>
      <c r="X405" s="27"/>
      <c r="Y405" s="27"/>
      <c r="Z405" s="27"/>
    </row>
    <row r="406" ht="12.75" customHeight="1">
      <c r="A406" s="27"/>
      <c r="B406" s="27"/>
      <c r="C406" s="27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7"/>
      <c r="W406" s="27"/>
      <c r="X406" s="27"/>
      <c r="Y406" s="27"/>
      <c r="Z406" s="27"/>
    </row>
    <row r="407" ht="12.75" customHeight="1">
      <c r="A407" s="27"/>
      <c r="B407" s="27"/>
      <c r="C407" s="27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/>
      <c r="U407" s="27"/>
      <c r="V407" s="27"/>
      <c r="W407" s="27"/>
      <c r="X407" s="27"/>
      <c r="Y407" s="27"/>
      <c r="Z407" s="27"/>
    </row>
    <row r="408" ht="12.75" customHeight="1">
      <c r="A408" s="27"/>
      <c r="B408" s="27"/>
      <c r="C408" s="27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7"/>
      <c r="W408" s="27"/>
      <c r="X408" s="27"/>
      <c r="Y408" s="27"/>
      <c r="Z408" s="27"/>
    </row>
    <row r="409" ht="12.75" customHeight="1">
      <c r="A409" s="27"/>
      <c r="B409" s="27"/>
      <c r="C409" s="27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/>
      <c r="U409" s="27"/>
      <c r="V409" s="27"/>
      <c r="W409" s="27"/>
      <c r="X409" s="27"/>
      <c r="Y409" s="27"/>
      <c r="Z409" s="27"/>
    </row>
    <row r="410" ht="12.75" customHeight="1">
      <c r="A410" s="27"/>
      <c r="B410" s="27"/>
      <c r="C410" s="27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7"/>
      <c r="W410" s="27"/>
      <c r="X410" s="27"/>
      <c r="Y410" s="27"/>
      <c r="Z410" s="27"/>
    </row>
    <row r="411" ht="12.75" customHeight="1">
      <c r="A411" s="27"/>
      <c r="B411" s="27"/>
      <c r="C411" s="27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/>
      <c r="U411" s="27"/>
      <c r="V411" s="27"/>
      <c r="W411" s="27"/>
      <c r="X411" s="27"/>
      <c r="Y411" s="27"/>
      <c r="Z411" s="27"/>
    </row>
    <row r="412" ht="12.75" customHeight="1">
      <c r="A412" s="27"/>
      <c r="B412" s="27"/>
      <c r="C412" s="27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7"/>
      <c r="W412" s="27"/>
      <c r="X412" s="27"/>
      <c r="Y412" s="27"/>
      <c r="Z412" s="27"/>
    </row>
    <row r="413" ht="12.75" customHeight="1">
      <c r="A413" s="27"/>
      <c r="B413" s="27"/>
      <c r="C413" s="27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/>
      <c r="U413" s="27"/>
      <c r="V413" s="27"/>
      <c r="W413" s="27"/>
      <c r="X413" s="27"/>
      <c r="Y413" s="27"/>
      <c r="Z413" s="27"/>
    </row>
    <row r="414" ht="12.75" customHeight="1">
      <c r="A414" s="27"/>
      <c r="B414" s="27"/>
      <c r="C414" s="27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7"/>
      <c r="W414" s="27"/>
      <c r="X414" s="27"/>
      <c r="Y414" s="27"/>
      <c r="Z414" s="27"/>
    </row>
    <row r="415" ht="12.75" customHeight="1">
      <c r="A415" s="27"/>
      <c r="B415" s="27"/>
      <c r="C415" s="27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/>
      <c r="U415" s="27"/>
      <c r="V415" s="27"/>
      <c r="W415" s="27"/>
      <c r="X415" s="27"/>
      <c r="Y415" s="27"/>
      <c r="Z415" s="27"/>
    </row>
    <row r="416" ht="12.75" customHeight="1">
      <c r="A416" s="27"/>
      <c r="B416" s="27"/>
      <c r="C416" s="27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7"/>
      <c r="W416" s="27"/>
      <c r="X416" s="27"/>
      <c r="Y416" s="27"/>
      <c r="Z416" s="27"/>
    </row>
    <row r="417" ht="12.75" customHeight="1">
      <c r="A417" s="27"/>
      <c r="B417" s="27"/>
      <c r="C417" s="27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/>
      <c r="U417" s="27"/>
      <c r="V417" s="27"/>
      <c r="W417" s="27"/>
      <c r="X417" s="27"/>
      <c r="Y417" s="27"/>
      <c r="Z417" s="27"/>
    </row>
    <row r="418" ht="12.75" customHeight="1">
      <c r="A418" s="27"/>
      <c r="B418" s="27"/>
      <c r="C418" s="27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7"/>
      <c r="W418" s="27"/>
      <c r="X418" s="27"/>
      <c r="Y418" s="27"/>
      <c r="Z418" s="27"/>
    </row>
    <row r="419" ht="12.75" customHeight="1">
      <c r="A419" s="27"/>
      <c r="B419" s="27"/>
      <c r="C419" s="27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/>
      <c r="U419" s="27"/>
      <c r="V419" s="27"/>
      <c r="W419" s="27"/>
      <c r="X419" s="27"/>
      <c r="Y419" s="27"/>
      <c r="Z419" s="27"/>
    </row>
    <row r="420" ht="12.75" customHeight="1">
      <c r="A420" s="27"/>
      <c r="B420" s="27"/>
      <c r="C420" s="27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7"/>
      <c r="W420" s="27"/>
      <c r="X420" s="27"/>
      <c r="Y420" s="27"/>
      <c r="Z420" s="27"/>
    </row>
    <row r="421" ht="12.75" customHeight="1">
      <c r="A421" s="27"/>
      <c r="B421" s="27"/>
      <c r="C421" s="27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/>
      <c r="U421" s="27"/>
      <c r="V421" s="27"/>
      <c r="W421" s="27"/>
      <c r="X421" s="27"/>
      <c r="Y421" s="27"/>
      <c r="Z421" s="27"/>
    </row>
    <row r="422" ht="12.75" customHeight="1">
      <c r="A422" s="27"/>
      <c r="B422" s="27"/>
      <c r="C422" s="27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7"/>
      <c r="W422" s="27"/>
      <c r="X422" s="27"/>
      <c r="Y422" s="27"/>
      <c r="Z422" s="27"/>
    </row>
    <row r="423" ht="12.75" customHeight="1">
      <c r="A423" s="27"/>
      <c r="B423" s="27"/>
      <c r="C423" s="27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/>
      <c r="U423" s="27"/>
      <c r="V423" s="27"/>
      <c r="W423" s="27"/>
      <c r="X423" s="27"/>
      <c r="Y423" s="27"/>
      <c r="Z423" s="27"/>
    </row>
    <row r="424" ht="12.75" customHeight="1">
      <c r="A424" s="27"/>
      <c r="B424" s="27"/>
      <c r="C424" s="27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7"/>
      <c r="W424" s="27"/>
      <c r="X424" s="27"/>
      <c r="Y424" s="27"/>
      <c r="Z424" s="27"/>
    </row>
    <row r="425" ht="12.75" customHeight="1">
      <c r="A425" s="27"/>
      <c r="B425" s="27"/>
      <c r="C425" s="27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/>
      <c r="U425" s="27"/>
      <c r="V425" s="27"/>
      <c r="W425" s="27"/>
      <c r="X425" s="27"/>
      <c r="Y425" s="27"/>
      <c r="Z425" s="27"/>
    </row>
    <row r="426" ht="12.75" customHeight="1">
      <c r="A426" s="27"/>
      <c r="B426" s="27"/>
      <c r="C426" s="27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7"/>
      <c r="W426" s="27"/>
      <c r="X426" s="27"/>
      <c r="Y426" s="27"/>
      <c r="Z426" s="27"/>
    </row>
    <row r="427" ht="12.75" customHeight="1">
      <c r="A427" s="27"/>
      <c r="B427" s="27"/>
      <c r="C427" s="27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/>
      <c r="U427" s="27"/>
      <c r="V427" s="27"/>
      <c r="W427" s="27"/>
      <c r="X427" s="27"/>
      <c r="Y427" s="27"/>
      <c r="Z427" s="27"/>
    </row>
    <row r="428" ht="12.75" customHeight="1">
      <c r="A428" s="27"/>
      <c r="B428" s="27"/>
      <c r="C428" s="27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7"/>
      <c r="W428" s="27"/>
      <c r="X428" s="27"/>
      <c r="Y428" s="27"/>
      <c r="Z428" s="27"/>
    </row>
    <row r="429" ht="12.75" customHeight="1">
      <c r="A429" s="27"/>
      <c r="B429" s="27"/>
      <c r="C429" s="27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/>
      <c r="U429" s="27"/>
      <c r="V429" s="27"/>
      <c r="W429" s="27"/>
      <c r="X429" s="27"/>
      <c r="Y429" s="27"/>
      <c r="Z429" s="27"/>
    </row>
    <row r="430" ht="12.75" customHeight="1">
      <c r="A430" s="27"/>
      <c r="B430" s="27"/>
      <c r="C430" s="27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7"/>
      <c r="W430" s="27"/>
      <c r="X430" s="27"/>
      <c r="Y430" s="27"/>
      <c r="Z430" s="27"/>
    </row>
    <row r="431" ht="12.75" customHeight="1">
      <c r="A431" s="27"/>
      <c r="B431" s="27"/>
      <c r="C431" s="27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/>
      <c r="U431" s="27"/>
      <c r="V431" s="27"/>
      <c r="W431" s="27"/>
      <c r="X431" s="27"/>
      <c r="Y431" s="27"/>
      <c r="Z431" s="27"/>
    </row>
    <row r="432" ht="12.75" customHeight="1">
      <c r="A432" s="27"/>
      <c r="B432" s="27"/>
      <c r="C432" s="27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7"/>
      <c r="W432" s="27"/>
      <c r="X432" s="27"/>
      <c r="Y432" s="27"/>
      <c r="Z432" s="27"/>
    </row>
    <row r="433" ht="12.75" customHeight="1">
      <c r="A433" s="27"/>
      <c r="B433" s="27"/>
      <c r="C433" s="27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/>
      <c r="U433" s="27"/>
      <c r="V433" s="27"/>
      <c r="W433" s="27"/>
      <c r="X433" s="27"/>
      <c r="Y433" s="27"/>
      <c r="Z433" s="27"/>
    </row>
    <row r="434" ht="12.75" customHeight="1">
      <c r="A434" s="27"/>
      <c r="B434" s="27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7"/>
      <c r="W434" s="27"/>
      <c r="X434" s="27"/>
      <c r="Y434" s="27"/>
      <c r="Z434" s="27"/>
    </row>
    <row r="435" ht="12.75" customHeight="1">
      <c r="A435" s="27"/>
      <c r="B435" s="27"/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7"/>
      <c r="W435" s="27"/>
      <c r="X435" s="27"/>
      <c r="Y435" s="27"/>
      <c r="Z435" s="27"/>
    </row>
    <row r="436" ht="12.75" customHeight="1">
      <c r="A436" s="27"/>
      <c r="B436" s="27"/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7"/>
      <c r="W436" s="27"/>
      <c r="X436" s="27"/>
      <c r="Y436" s="27"/>
      <c r="Z436" s="27"/>
    </row>
    <row r="437" ht="12.75" customHeight="1">
      <c r="A437" s="27"/>
      <c r="B437" s="27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7"/>
      <c r="W437" s="27"/>
      <c r="X437" s="27"/>
      <c r="Y437" s="27"/>
      <c r="Z437" s="27"/>
    </row>
    <row r="438" ht="12.75" customHeight="1">
      <c r="A438" s="27"/>
      <c r="B438" s="27"/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7"/>
      <c r="W438" s="27"/>
      <c r="X438" s="27"/>
      <c r="Y438" s="27"/>
      <c r="Z438" s="27"/>
    </row>
    <row r="439" ht="12.75" customHeight="1">
      <c r="A439" s="27"/>
      <c r="B439" s="27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7"/>
      <c r="W439" s="27"/>
      <c r="X439" s="27"/>
      <c r="Y439" s="27"/>
      <c r="Z439" s="27"/>
    </row>
    <row r="440" ht="12.75" customHeight="1">
      <c r="A440" s="27"/>
      <c r="B440" s="27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7"/>
      <c r="W440" s="27"/>
      <c r="X440" s="27"/>
      <c r="Y440" s="27"/>
      <c r="Z440" s="27"/>
    </row>
    <row r="441" ht="12.75" customHeight="1">
      <c r="A441" s="27"/>
      <c r="B441" s="27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7"/>
      <c r="W441" s="27"/>
      <c r="X441" s="27"/>
      <c r="Y441" s="27"/>
      <c r="Z441" s="27"/>
    </row>
    <row r="442" ht="12.75" customHeight="1">
      <c r="A442" s="27"/>
      <c r="B442" s="27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7"/>
      <c r="W442" s="27"/>
      <c r="X442" s="27"/>
      <c r="Y442" s="27"/>
      <c r="Z442" s="27"/>
    </row>
    <row r="443" ht="12.75" customHeight="1">
      <c r="A443" s="27"/>
      <c r="B443" s="27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7"/>
      <c r="W443" s="27"/>
      <c r="X443" s="27"/>
      <c r="Y443" s="27"/>
      <c r="Z443" s="27"/>
    </row>
    <row r="444" ht="12.75" customHeight="1">
      <c r="A444" s="27"/>
      <c r="B444" s="27"/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7"/>
      <c r="W444" s="27"/>
      <c r="X444" s="27"/>
      <c r="Y444" s="27"/>
      <c r="Z444" s="27"/>
    </row>
    <row r="445" ht="12.75" customHeight="1">
      <c r="A445" s="27"/>
      <c r="B445" s="27"/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7"/>
      <c r="W445" s="27"/>
      <c r="X445" s="27"/>
      <c r="Y445" s="27"/>
      <c r="Z445" s="27"/>
    </row>
    <row r="446" ht="12.75" customHeight="1">
      <c r="A446" s="27"/>
      <c r="B446" s="27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/>
      <c r="U446" s="27"/>
      <c r="V446" s="27"/>
      <c r="W446" s="27"/>
      <c r="X446" s="27"/>
      <c r="Y446" s="27"/>
      <c r="Z446" s="27"/>
    </row>
    <row r="447" ht="12.75" customHeight="1">
      <c r="A447" s="27"/>
      <c r="B447" s="27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/>
      <c r="U447" s="27"/>
      <c r="V447" s="27"/>
      <c r="W447" s="27"/>
      <c r="X447" s="27"/>
      <c r="Y447" s="27"/>
      <c r="Z447" s="27"/>
    </row>
    <row r="448" ht="12.75" customHeight="1">
      <c r="A448" s="27"/>
      <c r="B448" s="27"/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/>
      <c r="V448" s="27"/>
      <c r="W448" s="27"/>
      <c r="X448" s="27"/>
      <c r="Y448" s="27"/>
      <c r="Z448" s="27"/>
    </row>
    <row r="449" ht="12.75" customHeight="1">
      <c r="A449" s="27"/>
      <c r="B449" s="27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/>
      <c r="U449" s="27"/>
      <c r="V449" s="27"/>
      <c r="W449" s="27"/>
      <c r="X449" s="27"/>
      <c r="Y449" s="27"/>
      <c r="Z449" s="27"/>
    </row>
    <row r="450" ht="12.75" customHeight="1">
      <c r="A450" s="27"/>
      <c r="B450" s="27"/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/>
      <c r="V450" s="27"/>
      <c r="W450" s="27"/>
      <c r="X450" s="27"/>
      <c r="Y450" s="27"/>
      <c r="Z450" s="27"/>
    </row>
    <row r="451" ht="12.75" customHeight="1">
      <c r="A451" s="27"/>
      <c r="B451" s="27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/>
      <c r="V451" s="27"/>
      <c r="W451" s="27"/>
      <c r="X451" s="27"/>
      <c r="Y451" s="27"/>
      <c r="Z451" s="27"/>
    </row>
    <row r="452" ht="12.75" customHeight="1">
      <c r="A452" s="27"/>
      <c r="B452" s="27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/>
      <c r="V452" s="27"/>
      <c r="W452" s="27"/>
      <c r="X452" s="27"/>
      <c r="Y452" s="27"/>
      <c r="Z452" s="27"/>
    </row>
    <row r="453" ht="12.75" customHeight="1">
      <c r="A453" s="27"/>
      <c r="B453" s="27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/>
      <c r="U453" s="27"/>
      <c r="V453" s="27"/>
      <c r="W453" s="27"/>
      <c r="X453" s="27"/>
      <c r="Y453" s="27"/>
      <c r="Z453" s="27"/>
    </row>
    <row r="454" ht="12.75" customHeight="1">
      <c r="A454" s="27"/>
      <c r="B454" s="27"/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/>
      <c r="U454" s="27"/>
      <c r="V454" s="27"/>
      <c r="W454" s="27"/>
      <c r="X454" s="27"/>
      <c r="Y454" s="27"/>
      <c r="Z454" s="27"/>
    </row>
    <row r="455" ht="12.75" customHeight="1">
      <c r="A455" s="27"/>
      <c r="B455" s="27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/>
      <c r="U455" s="27"/>
      <c r="V455" s="27"/>
      <c r="W455" s="27"/>
      <c r="X455" s="27"/>
      <c r="Y455" s="27"/>
      <c r="Z455" s="27"/>
    </row>
    <row r="456" ht="12.75" customHeight="1">
      <c r="A456" s="27"/>
      <c r="B456" s="27"/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/>
      <c r="V456" s="27"/>
      <c r="W456" s="27"/>
      <c r="X456" s="27"/>
      <c r="Y456" s="27"/>
      <c r="Z456" s="27"/>
    </row>
    <row r="457" ht="12.75" customHeight="1">
      <c r="A457" s="27"/>
      <c r="B457" s="27"/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/>
      <c r="U457" s="27"/>
      <c r="V457" s="27"/>
      <c r="W457" s="27"/>
      <c r="X457" s="27"/>
      <c r="Y457" s="27"/>
      <c r="Z457" s="27"/>
    </row>
    <row r="458" ht="12.75" customHeight="1">
      <c r="A458" s="27"/>
      <c r="B458" s="27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/>
      <c r="U458" s="27"/>
      <c r="V458" s="27"/>
      <c r="W458" s="27"/>
      <c r="X458" s="27"/>
      <c r="Y458" s="27"/>
      <c r="Z458" s="27"/>
    </row>
    <row r="459" ht="12.75" customHeight="1">
      <c r="A459" s="27"/>
      <c r="B459" s="27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/>
      <c r="U459" s="27"/>
      <c r="V459" s="27"/>
      <c r="W459" s="27"/>
      <c r="X459" s="27"/>
      <c r="Y459" s="27"/>
      <c r="Z459" s="27"/>
    </row>
    <row r="460" ht="12.75" customHeight="1">
      <c r="A460" s="27"/>
      <c r="B460" s="27"/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/>
      <c r="U460" s="27"/>
      <c r="V460" s="27"/>
      <c r="W460" s="27"/>
      <c r="X460" s="27"/>
      <c r="Y460" s="27"/>
      <c r="Z460" s="27"/>
    </row>
    <row r="461" ht="12.75" customHeight="1">
      <c r="A461" s="27"/>
      <c r="B461" s="27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/>
      <c r="U461" s="27"/>
      <c r="V461" s="27"/>
      <c r="W461" s="27"/>
      <c r="X461" s="27"/>
      <c r="Y461" s="27"/>
      <c r="Z461" s="27"/>
    </row>
    <row r="462" ht="12.75" customHeight="1">
      <c r="A462" s="27"/>
      <c r="B462" s="27"/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/>
      <c r="U462" s="27"/>
      <c r="V462" s="27"/>
      <c r="W462" s="27"/>
      <c r="X462" s="27"/>
      <c r="Y462" s="27"/>
      <c r="Z462" s="27"/>
    </row>
    <row r="463" ht="12.75" customHeight="1">
      <c r="A463" s="27"/>
      <c r="B463" s="27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/>
      <c r="U463" s="27"/>
      <c r="V463" s="27"/>
      <c r="W463" s="27"/>
      <c r="X463" s="27"/>
      <c r="Y463" s="27"/>
      <c r="Z463" s="27"/>
    </row>
    <row r="464" ht="12.75" customHeight="1">
      <c r="A464" s="27"/>
      <c r="B464" s="27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/>
      <c r="U464" s="27"/>
      <c r="V464" s="27"/>
      <c r="W464" s="27"/>
      <c r="X464" s="27"/>
      <c r="Y464" s="27"/>
      <c r="Z464" s="27"/>
    </row>
    <row r="465" ht="12.75" customHeight="1">
      <c r="A465" s="27"/>
      <c r="B465" s="27"/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/>
      <c r="V465" s="27"/>
      <c r="W465" s="27"/>
      <c r="X465" s="27"/>
      <c r="Y465" s="27"/>
      <c r="Z465" s="27"/>
    </row>
    <row r="466" ht="12.75" customHeight="1">
      <c r="A466" s="27"/>
      <c r="B466" s="27"/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/>
      <c r="U466" s="27"/>
      <c r="V466" s="27"/>
      <c r="W466" s="27"/>
      <c r="X466" s="27"/>
      <c r="Y466" s="27"/>
      <c r="Z466" s="27"/>
    </row>
    <row r="467" ht="12.75" customHeight="1">
      <c r="A467" s="27"/>
      <c r="B467" s="27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/>
      <c r="U467" s="27"/>
      <c r="V467" s="27"/>
      <c r="W467" s="27"/>
      <c r="X467" s="27"/>
      <c r="Y467" s="27"/>
      <c r="Z467" s="27"/>
    </row>
    <row r="468" ht="12.75" customHeight="1">
      <c r="A468" s="27"/>
      <c r="B468" s="27"/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/>
      <c r="U468" s="27"/>
      <c r="V468" s="27"/>
      <c r="W468" s="27"/>
      <c r="X468" s="27"/>
      <c r="Y468" s="27"/>
      <c r="Z468" s="27"/>
    </row>
    <row r="469" ht="12.75" customHeight="1">
      <c r="A469" s="27"/>
      <c r="B469" s="27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/>
      <c r="U469" s="27"/>
      <c r="V469" s="27"/>
      <c r="W469" s="27"/>
      <c r="X469" s="27"/>
      <c r="Y469" s="27"/>
      <c r="Z469" s="27"/>
    </row>
    <row r="470" ht="12.75" customHeight="1">
      <c r="A470" s="27"/>
      <c r="B470" s="27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/>
      <c r="U470" s="27"/>
      <c r="V470" s="27"/>
      <c r="W470" s="27"/>
      <c r="X470" s="27"/>
      <c r="Y470" s="27"/>
      <c r="Z470" s="27"/>
    </row>
    <row r="471" ht="12.75" customHeight="1">
      <c r="A471" s="27"/>
      <c r="B471" s="27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/>
      <c r="U471" s="27"/>
      <c r="V471" s="27"/>
      <c r="W471" s="27"/>
      <c r="X471" s="27"/>
      <c r="Y471" s="27"/>
      <c r="Z471" s="27"/>
    </row>
    <row r="472" ht="12.75" customHeight="1">
      <c r="A472" s="27"/>
      <c r="B472" s="27"/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/>
      <c r="U472" s="27"/>
      <c r="V472" s="27"/>
      <c r="W472" s="27"/>
      <c r="X472" s="27"/>
      <c r="Y472" s="27"/>
      <c r="Z472" s="27"/>
    </row>
    <row r="473" ht="12.75" customHeight="1">
      <c r="A473" s="27"/>
      <c r="B473" s="27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/>
      <c r="U473" s="27"/>
      <c r="V473" s="27"/>
      <c r="W473" s="27"/>
      <c r="X473" s="27"/>
      <c r="Y473" s="27"/>
      <c r="Z473" s="27"/>
    </row>
    <row r="474" ht="12.75" customHeight="1">
      <c r="A474" s="27"/>
      <c r="B474" s="27"/>
      <c r="C474" s="27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/>
      <c r="U474" s="27"/>
      <c r="V474" s="27"/>
      <c r="W474" s="27"/>
      <c r="X474" s="27"/>
      <c r="Y474" s="27"/>
      <c r="Z474" s="27"/>
    </row>
    <row r="475" ht="12.75" customHeight="1">
      <c r="A475" s="27"/>
      <c r="B475" s="27"/>
      <c r="C475" s="27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P475" s="27"/>
      <c r="Q475" s="27"/>
      <c r="R475" s="27"/>
      <c r="S475" s="27"/>
      <c r="T475" s="27"/>
      <c r="U475" s="27"/>
      <c r="V475" s="27"/>
      <c r="W475" s="27"/>
      <c r="X475" s="27"/>
      <c r="Y475" s="27"/>
      <c r="Z475" s="27"/>
    </row>
    <row r="476" ht="12.75" customHeight="1">
      <c r="A476" s="27"/>
      <c r="B476" s="27"/>
      <c r="C476" s="27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P476" s="27"/>
      <c r="Q476" s="27"/>
      <c r="R476" s="27"/>
      <c r="S476" s="27"/>
      <c r="T476" s="27"/>
      <c r="U476" s="27"/>
      <c r="V476" s="27"/>
      <c r="W476" s="27"/>
      <c r="X476" s="27"/>
      <c r="Y476" s="27"/>
      <c r="Z476" s="27"/>
    </row>
    <row r="477" ht="12.75" customHeight="1">
      <c r="A477" s="27"/>
      <c r="B477" s="27"/>
      <c r="C477" s="27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P477" s="27"/>
      <c r="Q477" s="27"/>
      <c r="R477" s="27"/>
      <c r="S477" s="27"/>
      <c r="T477" s="27"/>
      <c r="U477" s="27"/>
      <c r="V477" s="27"/>
      <c r="W477" s="27"/>
      <c r="X477" s="27"/>
      <c r="Y477" s="27"/>
      <c r="Z477" s="27"/>
    </row>
    <row r="478" ht="12.75" customHeight="1">
      <c r="A478" s="27"/>
      <c r="B478" s="27"/>
      <c r="C478" s="27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P478" s="27"/>
      <c r="Q478" s="27"/>
      <c r="R478" s="27"/>
      <c r="S478" s="27"/>
      <c r="T478" s="27"/>
      <c r="U478" s="27"/>
      <c r="V478" s="27"/>
      <c r="W478" s="27"/>
      <c r="X478" s="27"/>
      <c r="Y478" s="27"/>
      <c r="Z478" s="27"/>
    </row>
    <row r="479" ht="12.75" customHeight="1">
      <c r="A479" s="27"/>
      <c r="B479" s="27"/>
      <c r="C479" s="27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P479" s="27"/>
      <c r="Q479" s="27"/>
      <c r="R479" s="27"/>
      <c r="S479" s="27"/>
      <c r="T479" s="27"/>
      <c r="U479" s="27"/>
      <c r="V479" s="27"/>
      <c r="W479" s="27"/>
      <c r="X479" s="27"/>
      <c r="Y479" s="27"/>
      <c r="Z479" s="27"/>
    </row>
    <row r="480" ht="12.75" customHeight="1">
      <c r="A480" s="27"/>
      <c r="B480" s="27"/>
      <c r="C480" s="27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P480" s="27"/>
      <c r="Q480" s="27"/>
      <c r="R480" s="27"/>
      <c r="S480" s="27"/>
      <c r="T480" s="27"/>
      <c r="U480" s="27"/>
      <c r="V480" s="27"/>
      <c r="W480" s="27"/>
      <c r="X480" s="27"/>
      <c r="Y480" s="27"/>
      <c r="Z480" s="27"/>
    </row>
    <row r="481" ht="12.75" customHeight="1">
      <c r="A481" s="27"/>
      <c r="B481" s="27"/>
      <c r="C481" s="27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P481" s="27"/>
      <c r="Q481" s="27"/>
      <c r="R481" s="27"/>
      <c r="S481" s="27"/>
      <c r="T481" s="27"/>
      <c r="U481" s="27"/>
      <c r="V481" s="27"/>
      <c r="W481" s="27"/>
      <c r="X481" s="27"/>
      <c r="Y481" s="27"/>
      <c r="Z481" s="27"/>
    </row>
    <row r="482" ht="12.75" customHeight="1">
      <c r="A482" s="27"/>
      <c r="B482" s="27"/>
      <c r="C482" s="27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P482" s="27"/>
      <c r="Q482" s="27"/>
      <c r="R482" s="27"/>
      <c r="S482" s="27"/>
      <c r="T482" s="27"/>
      <c r="U482" s="27"/>
      <c r="V482" s="27"/>
      <c r="W482" s="27"/>
      <c r="X482" s="27"/>
      <c r="Y482" s="27"/>
      <c r="Z482" s="27"/>
    </row>
    <row r="483" ht="12.75" customHeight="1">
      <c r="A483" s="27"/>
      <c r="B483" s="27"/>
      <c r="C483" s="27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P483" s="27"/>
      <c r="Q483" s="27"/>
      <c r="R483" s="27"/>
      <c r="S483" s="27"/>
      <c r="T483" s="27"/>
      <c r="U483" s="27"/>
      <c r="V483" s="27"/>
      <c r="W483" s="27"/>
      <c r="X483" s="27"/>
      <c r="Y483" s="27"/>
      <c r="Z483" s="27"/>
    </row>
    <row r="484" ht="12.75" customHeight="1">
      <c r="A484" s="27"/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ht="12.75" customHeight="1">
      <c r="A485" s="27"/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ht="12.75" customHeight="1">
      <c r="A486" s="27"/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ht="12.75" customHeight="1">
      <c r="A487" s="27"/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ht="12.75" customHeight="1">
      <c r="A488" s="27"/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ht="12.75" customHeight="1">
      <c r="A489" s="27"/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ht="12.75" customHeight="1">
      <c r="A490" s="27"/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ht="12.75" customHeight="1">
      <c r="A491" s="27"/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ht="12.75" customHeight="1">
      <c r="A492" s="27"/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ht="12.75" customHeight="1">
      <c r="A493" s="27"/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ht="12.75" customHeight="1">
      <c r="A494" s="27"/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ht="12.75" customHeight="1">
      <c r="A495" s="27"/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ht="12.75" customHeight="1">
      <c r="A496" s="27"/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ht="12.75" customHeight="1">
      <c r="A497" s="27"/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ht="12.75" customHeight="1">
      <c r="A498" s="27"/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ht="12.75" customHeight="1">
      <c r="A499" s="27"/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ht="12.75" customHeight="1">
      <c r="A500" s="27"/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ht="12.75" customHeight="1">
      <c r="A501" s="27"/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ht="12.75" customHeight="1">
      <c r="A502" s="27"/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ht="12.75" customHeight="1">
      <c r="A503" s="27"/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ht="12.75" customHeight="1">
      <c r="A504" s="27"/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ht="12.75" customHeight="1">
      <c r="A505" s="27"/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ht="12.75" customHeight="1">
      <c r="A506" s="27"/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ht="12.75" customHeight="1">
      <c r="A507" s="27"/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ht="12.75" customHeight="1">
      <c r="A508" s="27"/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ht="12.75" customHeight="1">
      <c r="A509" s="27"/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ht="12.75" customHeight="1">
      <c r="A510" s="27"/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ht="12.75" customHeight="1">
      <c r="A511" s="27"/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ht="12.75" customHeight="1">
      <c r="A512" s="27"/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ht="12.75" customHeight="1">
      <c r="A513" s="27"/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ht="12.75" customHeight="1">
      <c r="A514" s="27"/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ht="12.75" customHeight="1">
      <c r="A515" s="27"/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ht="12.75" customHeight="1">
      <c r="A516" s="27"/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ht="12.75" customHeight="1">
      <c r="A517" s="27"/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ht="12.75" customHeight="1">
      <c r="A518" s="27"/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ht="12.75" customHeight="1">
      <c r="A519" s="27"/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ht="12.75" customHeight="1">
      <c r="A520" s="27"/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ht="12.75" customHeight="1">
      <c r="A521" s="27"/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ht="12.75" customHeight="1">
      <c r="A522" s="27"/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ht="12.75" customHeight="1">
      <c r="A523" s="27"/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ht="12.75" customHeight="1">
      <c r="A524" s="27"/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ht="12.75" customHeight="1">
      <c r="A525" s="27"/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ht="12.75" customHeight="1">
      <c r="A526" s="27"/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ht="12.75" customHeight="1">
      <c r="A527" s="27"/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ht="12.75" customHeight="1">
      <c r="A528" s="27"/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ht="12.75" customHeight="1">
      <c r="A529" s="27"/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ht="12.75" customHeight="1">
      <c r="A530" s="27"/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ht="12.75" customHeight="1">
      <c r="A531" s="27"/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ht="12.75" customHeight="1">
      <c r="A532" s="27"/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ht="12.75" customHeight="1">
      <c r="A533" s="27"/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ht="12.75" customHeight="1">
      <c r="A534" s="27"/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ht="12.75" customHeight="1">
      <c r="A535" s="27"/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ht="12.75" customHeight="1">
      <c r="A536" s="27"/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ht="12.75" customHeight="1">
      <c r="A537" s="27"/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ht="12.75" customHeight="1">
      <c r="A538" s="27"/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ht="12.75" customHeight="1">
      <c r="A539" s="27"/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ht="12.75" customHeight="1">
      <c r="A540" s="27"/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ht="12.75" customHeight="1">
      <c r="A541" s="27"/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ht="12.75" customHeight="1">
      <c r="A542" s="27"/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ht="12.75" customHeight="1">
      <c r="A543" s="27"/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ht="12.75" customHeight="1">
      <c r="A544" s="27"/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ht="12.75" customHeight="1">
      <c r="A545" s="27"/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ht="12.75" customHeight="1">
      <c r="A546" s="27"/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ht="12.75" customHeight="1">
      <c r="A547" s="27"/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ht="12.75" customHeight="1">
      <c r="A548" s="27"/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ht="12.75" customHeight="1">
      <c r="A549" s="27"/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ht="12.75" customHeight="1">
      <c r="A550" s="27"/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ht="12.75" customHeight="1">
      <c r="A551" s="27"/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ht="12.75" customHeight="1">
      <c r="A552" s="27"/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ht="12.75" customHeight="1">
      <c r="A553" s="27"/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ht="12.75" customHeight="1">
      <c r="A554" s="27"/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ht="12.75" customHeight="1">
      <c r="A555" s="27"/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ht="12.75" customHeight="1">
      <c r="A556" s="27"/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ht="12.75" customHeight="1">
      <c r="A557" s="27"/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ht="12.75" customHeight="1">
      <c r="A558" s="27"/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ht="12.75" customHeight="1">
      <c r="A559" s="27"/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ht="12.75" customHeight="1">
      <c r="A560" s="27"/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ht="12.75" customHeight="1">
      <c r="A561" s="27"/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ht="12.75" customHeight="1">
      <c r="A562" s="27"/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ht="12.75" customHeight="1">
      <c r="A563" s="27"/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ht="12.75" customHeight="1">
      <c r="A564" s="27"/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ht="12.75" customHeight="1">
      <c r="A565" s="27"/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ht="12.75" customHeight="1">
      <c r="A566" s="27"/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ht="12.75" customHeight="1">
      <c r="A567" s="27"/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ht="12.75" customHeight="1">
      <c r="A568" s="27"/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ht="12.75" customHeight="1">
      <c r="A569" s="27"/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ht="12.75" customHeight="1">
      <c r="A570" s="27"/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ht="12.75" customHeight="1">
      <c r="A571" s="27"/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ht="12.75" customHeight="1">
      <c r="A572" s="27"/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ht="12.75" customHeight="1">
      <c r="A573" s="27"/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ht="12.75" customHeight="1">
      <c r="A574" s="27"/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ht="12.75" customHeight="1">
      <c r="A575" s="27"/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ht="12.75" customHeight="1">
      <c r="A576" s="27"/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ht="12.75" customHeight="1">
      <c r="A577" s="27"/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ht="12.75" customHeight="1">
      <c r="A578" s="27"/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ht="12.75" customHeight="1">
      <c r="A579" s="27"/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ht="12.75" customHeight="1">
      <c r="A580" s="27"/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ht="12.75" customHeight="1">
      <c r="A581" s="27"/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ht="12.75" customHeight="1">
      <c r="A582" s="27"/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ht="12.75" customHeight="1">
      <c r="A583" s="27"/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ht="12.75" customHeight="1">
      <c r="A584" s="27"/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ht="12.75" customHeight="1">
      <c r="A585" s="27"/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ht="12.75" customHeight="1">
      <c r="A586" s="27"/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ht="12.75" customHeight="1">
      <c r="A587" s="27"/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ht="12.75" customHeight="1">
      <c r="A588" s="27"/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ht="12.75" customHeight="1">
      <c r="A589" s="27"/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ht="12.75" customHeight="1">
      <c r="A590" s="27"/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ht="12.75" customHeight="1">
      <c r="A591" s="27"/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ht="12.75" customHeight="1">
      <c r="A592" s="27"/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ht="12.75" customHeight="1">
      <c r="A593" s="27"/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ht="12.75" customHeight="1">
      <c r="A594" s="27"/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ht="12.75" customHeight="1">
      <c r="A595" s="27"/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ht="12.75" customHeight="1">
      <c r="A596" s="27"/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ht="12.75" customHeight="1">
      <c r="A597" s="27"/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ht="12.75" customHeight="1">
      <c r="A598" s="27"/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ht="12.75" customHeight="1">
      <c r="A599" s="27"/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ht="12.75" customHeight="1">
      <c r="A600" s="27"/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ht="12.75" customHeight="1">
      <c r="A601" s="27"/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ht="12.75" customHeight="1">
      <c r="A602" s="27"/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ht="12.75" customHeight="1">
      <c r="A603" s="27"/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ht="12.75" customHeight="1">
      <c r="A604" s="27"/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ht="12.75" customHeight="1">
      <c r="A605" s="27"/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ht="12.75" customHeight="1">
      <c r="A606" s="27"/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ht="12.75" customHeight="1">
      <c r="A607" s="27"/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ht="12.75" customHeight="1">
      <c r="A608" s="27"/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ht="12.75" customHeight="1">
      <c r="A609" s="27"/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ht="12.75" customHeight="1">
      <c r="A610" s="27"/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ht="12.75" customHeight="1">
      <c r="A611" s="27"/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ht="12.75" customHeight="1">
      <c r="A612" s="27"/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ht="12.75" customHeight="1">
      <c r="A613" s="27"/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ht="12.75" customHeight="1">
      <c r="A614" s="27"/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ht="12.75" customHeight="1">
      <c r="A615" s="27"/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ht="12.75" customHeight="1">
      <c r="A616" s="27"/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ht="12.75" customHeight="1">
      <c r="A617" s="27"/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ht="12.75" customHeight="1">
      <c r="A618" s="27"/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ht="12.75" customHeight="1">
      <c r="A619" s="27"/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ht="12.75" customHeight="1">
      <c r="A620" s="27"/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ht="12.75" customHeight="1">
      <c r="A621" s="27"/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ht="12.75" customHeight="1">
      <c r="A622" s="27"/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ht="12.75" customHeight="1">
      <c r="A623" s="27"/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ht="12.75" customHeight="1">
      <c r="A624" s="27"/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ht="12.75" customHeight="1">
      <c r="A625" s="27"/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ht="12.75" customHeight="1">
      <c r="A626" s="27"/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ht="12.75" customHeight="1">
      <c r="A627" s="27"/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ht="12.75" customHeight="1">
      <c r="A628" s="27"/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ht="12.75" customHeight="1">
      <c r="A629" s="27"/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ht="12.75" customHeight="1">
      <c r="A630" s="27"/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ht="12.75" customHeight="1">
      <c r="A631" s="27"/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ht="12.75" customHeight="1">
      <c r="A632" s="27"/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ht="12.75" customHeight="1">
      <c r="A633" s="27"/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ht="12.75" customHeight="1">
      <c r="A634" s="27"/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ht="12.75" customHeight="1">
      <c r="A635" s="27"/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ht="12.75" customHeight="1">
      <c r="A636" s="27"/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ht="12.75" customHeight="1">
      <c r="A637" s="27"/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ht="12.75" customHeight="1">
      <c r="A638" s="27"/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ht="12.75" customHeight="1">
      <c r="A639" s="27"/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ht="12.75" customHeight="1">
      <c r="A640" s="27"/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ht="12.75" customHeight="1">
      <c r="A641" s="27"/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ht="12.75" customHeight="1">
      <c r="A642" s="27"/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ht="12.75" customHeight="1">
      <c r="A643" s="27"/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ht="12.75" customHeight="1">
      <c r="A644" s="27"/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ht="12.75" customHeight="1">
      <c r="A645" s="27"/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ht="12.75" customHeight="1">
      <c r="A646" s="27"/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ht="12.75" customHeight="1">
      <c r="A647" s="27"/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ht="12.75" customHeight="1">
      <c r="A648" s="27"/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ht="12.75" customHeight="1">
      <c r="A649" s="27"/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ht="12.75" customHeight="1">
      <c r="A650" s="27"/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ht="12.75" customHeight="1">
      <c r="A651" s="27"/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ht="12.75" customHeight="1">
      <c r="A652" s="27"/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ht="12.75" customHeight="1">
      <c r="A653" s="27"/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ht="12.75" customHeight="1">
      <c r="A654" s="27"/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ht="12.75" customHeight="1">
      <c r="A655" s="27"/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ht="12.75" customHeight="1">
      <c r="A656" s="27"/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ht="12.75" customHeight="1">
      <c r="A657" s="27"/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ht="12.75" customHeight="1">
      <c r="A658" s="27"/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ht="12.75" customHeight="1">
      <c r="A659" s="27"/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ht="12.75" customHeight="1">
      <c r="A660" s="27"/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ht="12.75" customHeight="1">
      <c r="A661" s="27"/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ht="12.75" customHeight="1">
      <c r="A662" s="27"/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ht="12.75" customHeight="1">
      <c r="A663" s="27"/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ht="12.75" customHeight="1">
      <c r="A664" s="27"/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ht="12.75" customHeight="1">
      <c r="A665" s="27"/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ht="12.75" customHeight="1">
      <c r="A666" s="27"/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ht="12.75" customHeight="1">
      <c r="A667" s="27"/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ht="12.75" customHeight="1">
      <c r="A668" s="27"/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ht="12.75" customHeight="1">
      <c r="A669" s="27"/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ht="12.75" customHeight="1">
      <c r="A670" s="27"/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ht="12.75" customHeight="1">
      <c r="A671" s="27"/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ht="12.75" customHeight="1">
      <c r="A672" s="27"/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ht="12.75" customHeight="1">
      <c r="A673" s="27"/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ht="12.75" customHeight="1">
      <c r="A674" s="27"/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ht="12.75" customHeight="1">
      <c r="A675" s="27"/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ht="12.75" customHeight="1">
      <c r="A676" s="27"/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ht="12.75" customHeight="1">
      <c r="A677" s="27"/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ht="12.75" customHeight="1">
      <c r="A678" s="27"/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ht="12.75" customHeight="1">
      <c r="A679" s="27"/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ht="12.75" customHeight="1">
      <c r="A680" s="27"/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ht="12.75" customHeight="1">
      <c r="A681" s="27"/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ht="12.75" customHeight="1">
      <c r="A682" s="27"/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ht="12.75" customHeight="1">
      <c r="A683" s="27"/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ht="12.75" customHeight="1">
      <c r="A684" s="27"/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ht="12.75" customHeight="1">
      <c r="A685" s="27"/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ht="12.75" customHeight="1">
      <c r="A686" s="27"/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ht="12.75" customHeight="1">
      <c r="A687" s="27"/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ht="12.75" customHeight="1">
      <c r="A688" s="27"/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ht="12.75" customHeight="1">
      <c r="A689" s="27"/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ht="12.75" customHeight="1">
      <c r="A690" s="27"/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ht="12.75" customHeight="1">
      <c r="A691" s="27"/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ht="12.75" customHeight="1">
      <c r="A692" s="27"/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ht="12.75" customHeight="1">
      <c r="A693" s="27"/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ht="12.75" customHeight="1">
      <c r="A694" s="27"/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ht="12.75" customHeight="1">
      <c r="A695" s="27"/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ht="12.75" customHeight="1">
      <c r="A696" s="27"/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ht="12.75" customHeight="1">
      <c r="A697" s="27"/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ht="12.75" customHeight="1">
      <c r="A698" s="27"/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ht="12.75" customHeight="1">
      <c r="A699" s="27"/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ht="12.75" customHeight="1">
      <c r="A700" s="27"/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ht="12.75" customHeight="1">
      <c r="A701" s="27"/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ht="12.75" customHeight="1">
      <c r="A702" s="27"/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ht="12.75" customHeight="1">
      <c r="A703" s="27"/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ht="12.75" customHeight="1">
      <c r="A704" s="27"/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ht="12.75" customHeight="1">
      <c r="A705" s="27"/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ht="12.75" customHeight="1">
      <c r="A706" s="27"/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ht="12.75" customHeight="1">
      <c r="A707" s="27"/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ht="12.75" customHeight="1">
      <c r="A708" s="27"/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ht="12.75" customHeight="1">
      <c r="A709" s="27"/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ht="12.75" customHeight="1">
      <c r="A710" s="27"/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ht="12.75" customHeight="1">
      <c r="A711" s="27"/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ht="12.75" customHeight="1">
      <c r="A712" s="27"/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ht="12.75" customHeight="1">
      <c r="A713" s="27"/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ht="12.75" customHeight="1">
      <c r="A714" s="27"/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ht="12.75" customHeight="1">
      <c r="A715" s="27"/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ht="12.75" customHeight="1">
      <c r="A716" s="27"/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ht="12.75" customHeight="1">
      <c r="A717" s="27"/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ht="12.75" customHeight="1">
      <c r="A718" s="27"/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ht="12.75" customHeight="1">
      <c r="A719" s="27"/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N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ht="12.75" customHeight="1">
      <c r="A720" s="27"/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N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ht="12.75" customHeight="1">
      <c r="A721" s="27"/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ht="12.75" customHeight="1">
      <c r="A722" s="27"/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ht="12.75" customHeight="1">
      <c r="A723" s="27"/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ht="12.75" customHeight="1">
      <c r="A724" s="27"/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ht="12.75" customHeight="1">
      <c r="A725" s="27"/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ht="12.75" customHeight="1">
      <c r="A726" s="27"/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ht="12.75" customHeight="1">
      <c r="A727" s="27"/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ht="12.75" customHeight="1">
      <c r="A728" s="27"/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ht="12.75" customHeight="1">
      <c r="A729" s="27"/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ht="12.75" customHeight="1">
      <c r="A730" s="27"/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ht="12.75" customHeight="1">
      <c r="A731" s="27"/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ht="12.75" customHeight="1">
      <c r="A732" s="27"/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ht="12.75" customHeight="1">
      <c r="A733" s="27"/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ht="12.75" customHeight="1">
      <c r="A734" s="27"/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ht="12.75" customHeight="1">
      <c r="A735" s="27"/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ht="12.75" customHeight="1">
      <c r="A736" s="27"/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ht="12.75" customHeight="1">
      <c r="A737" s="27"/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ht="12.75" customHeight="1">
      <c r="A738" s="27"/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ht="12.75" customHeight="1">
      <c r="A739" s="27"/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ht="12.75" customHeight="1">
      <c r="A740" s="27"/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ht="12.75" customHeight="1">
      <c r="A741" s="27"/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ht="12.75" customHeight="1">
      <c r="A742" s="27"/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ht="12.75" customHeight="1">
      <c r="A743" s="27"/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ht="12.75" customHeight="1">
      <c r="A744" s="27"/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ht="12.75" customHeight="1">
      <c r="A745" s="27"/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ht="12.75" customHeight="1">
      <c r="A746" s="27"/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ht="12.75" customHeight="1">
      <c r="A747" s="27"/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ht="12.75" customHeight="1">
      <c r="A748" s="27"/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N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ht="12.75" customHeight="1">
      <c r="A749" s="27"/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ht="12.75" customHeight="1">
      <c r="A750" s="27"/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N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ht="12.75" customHeight="1">
      <c r="A751" s="27"/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N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ht="12.75" customHeight="1">
      <c r="A752" s="27"/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N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ht="12.75" customHeight="1">
      <c r="A753" s="27"/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ht="12.75" customHeight="1">
      <c r="A754" s="27"/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N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ht="12.75" customHeight="1">
      <c r="A755" s="27"/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N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ht="12.75" customHeight="1">
      <c r="A756" s="27"/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N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ht="12.75" customHeight="1">
      <c r="A757" s="27"/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ht="12.75" customHeight="1">
      <c r="A758" s="27"/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N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ht="12.75" customHeight="1">
      <c r="A759" s="27"/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N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ht="12.75" customHeight="1">
      <c r="A760" s="27"/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N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ht="12.75" customHeight="1">
      <c r="A761" s="27"/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ht="12.75" customHeight="1">
      <c r="A762" s="27"/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N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ht="12.75" customHeight="1">
      <c r="A763" s="27"/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ht="12.75" customHeight="1">
      <c r="A764" s="27"/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N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ht="12.75" customHeight="1">
      <c r="A765" s="27"/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ht="12.75" customHeight="1">
      <c r="A766" s="27"/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N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ht="12.75" customHeight="1">
      <c r="A767" s="27"/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N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ht="12.75" customHeight="1">
      <c r="A768" s="27"/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N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ht="12.75" customHeight="1">
      <c r="A769" s="27"/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ht="12.75" customHeight="1">
      <c r="A770" s="27"/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N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ht="12.75" customHeight="1">
      <c r="A771" s="27"/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ht="12.75" customHeight="1">
      <c r="A772" s="27"/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N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ht="12.75" customHeight="1">
      <c r="A773" s="27"/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N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ht="12.75" customHeight="1">
      <c r="A774" s="27"/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N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ht="12.75" customHeight="1">
      <c r="A775" s="27"/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ht="12.75" customHeight="1">
      <c r="A776" s="27"/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N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ht="12.75" customHeight="1">
      <c r="A777" s="27"/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ht="12.75" customHeight="1">
      <c r="A778" s="27"/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N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ht="12.75" customHeight="1">
      <c r="A779" s="27"/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N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ht="12.75" customHeight="1">
      <c r="A780" s="27"/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N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ht="12.75" customHeight="1">
      <c r="A781" s="27"/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N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ht="12.75" customHeight="1">
      <c r="A782" s="27"/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N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ht="12.75" customHeight="1">
      <c r="A783" s="27"/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N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ht="12.75" customHeight="1">
      <c r="A784" s="27"/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N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ht="12.75" customHeight="1">
      <c r="A785" s="27"/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N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ht="12.75" customHeight="1">
      <c r="A786" s="27"/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N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ht="12.75" customHeight="1">
      <c r="A787" s="27"/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ht="12.75" customHeight="1">
      <c r="A788" s="27"/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N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ht="12.75" customHeight="1">
      <c r="A789" s="27"/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ht="12.75" customHeight="1">
      <c r="A790" s="27"/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N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ht="12.75" customHeight="1">
      <c r="A791" s="27"/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N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ht="12.75" customHeight="1">
      <c r="A792" s="27"/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N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ht="12.75" customHeight="1">
      <c r="A793" s="27"/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N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ht="12.75" customHeight="1">
      <c r="A794" s="27"/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N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ht="12.75" customHeight="1">
      <c r="A795" s="27"/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N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ht="12.75" customHeight="1">
      <c r="A796" s="27"/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N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ht="12.75" customHeight="1">
      <c r="A797" s="27"/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ht="12.75" customHeight="1">
      <c r="A798" s="27"/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N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ht="12.75" customHeight="1">
      <c r="A799" s="27"/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ht="12.75" customHeight="1">
      <c r="A800" s="27"/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N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ht="12.75" customHeight="1">
      <c r="A801" s="27"/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N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ht="12.75" customHeight="1">
      <c r="A802" s="27"/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N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ht="12.75" customHeight="1">
      <c r="A803" s="27"/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N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ht="12.75" customHeight="1">
      <c r="A804" s="27"/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N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ht="12.75" customHeight="1">
      <c r="A805" s="27"/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ht="12.75" customHeight="1">
      <c r="A806" s="27"/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ht="12.75" customHeight="1">
      <c r="A807" s="27"/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N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ht="12.75" customHeight="1">
      <c r="A808" s="27"/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N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ht="12.75" customHeight="1">
      <c r="A809" s="27"/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N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ht="12.75" customHeight="1">
      <c r="A810" s="27"/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N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ht="12.75" customHeight="1">
      <c r="A811" s="27"/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ht="12.75" customHeight="1">
      <c r="A812" s="27"/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N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ht="12.75" customHeight="1">
      <c r="A813" s="27"/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N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ht="12.75" customHeight="1">
      <c r="A814" s="27"/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N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ht="12.75" customHeight="1">
      <c r="A815" s="27"/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N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ht="12.75" customHeight="1">
      <c r="A816" s="27"/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N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ht="12.75" customHeight="1">
      <c r="A817" s="27"/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N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ht="12.75" customHeight="1">
      <c r="A818" s="27"/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N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ht="12.75" customHeight="1">
      <c r="A819" s="27"/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N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ht="12.75" customHeight="1">
      <c r="A820" s="27"/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N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ht="12.75" customHeight="1">
      <c r="A821" s="27"/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N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ht="12.75" customHeight="1">
      <c r="A822" s="27"/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N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ht="12.75" customHeight="1">
      <c r="A823" s="27"/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N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ht="12.75" customHeight="1">
      <c r="A824" s="27"/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N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ht="12.75" customHeight="1">
      <c r="A825" s="27"/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ht="12.75" customHeight="1">
      <c r="A826" s="27"/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N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ht="12.75" customHeight="1">
      <c r="A827" s="27"/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N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ht="12.75" customHeight="1">
      <c r="A828" s="27"/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N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ht="12.75" customHeight="1">
      <c r="A829" s="27"/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N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ht="12.75" customHeight="1">
      <c r="A830" s="27"/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N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ht="12.75" customHeight="1">
      <c r="A831" s="27"/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ht="12.75" customHeight="1">
      <c r="A832" s="27"/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N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ht="12.75" customHeight="1">
      <c r="A833" s="27"/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ht="12.75" customHeight="1">
      <c r="A834" s="27"/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N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ht="12.75" customHeight="1">
      <c r="A835" s="27"/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N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ht="12.75" customHeight="1">
      <c r="A836" s="27"/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N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ht="12.75" customHeight="1">
      <c r="A837" s="27"/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N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ht="12.75" customHeight="1">
      <c r="A838" s="27"/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N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ht="12.75" customHeight="1">
      <c r="A839" s="27"/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ht="12.75" customHeight="1">
      <c r="A840" s="27"/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N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ht="12.75" customHeight="1">
      <c r="A841" s="27"/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ht="12.75" customHeight="1">
      <c r="A842" s="27"/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N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ht="12.75" customHeight="1">
      <c r="A843" s="27"/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ht="12.75" customHeight="1">
      <c r="A844" s="27"/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N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ht="12.75" customHeight="1">
      <c r="A845" s="27"/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ht="12.75" customHeight="1">
      <c r="A846" s="27"/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N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ht="12.75" customHeight="1">
      <c r="A847" s="27"/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ht="12.75" customHeight="1">
      <c r="A848" s="27"/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N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ht="12.75" customHeight="1">
      <c r="A849" s="27"/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N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ht="12.75" customHeight="1">
      <c r="A850" s="27"/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N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ht="12.75" customHeight="1">
      <c r="A851" s="27"/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ht="12.75" customHeight="1">
      <c r="A852" s="27"/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N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ht="12.75" customHeight="1">
      <c r="A853" s="27"/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N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ht="12.75" customHeight="1">
      <c r="A854" s="27"/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N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ht="12.75" customHeight="1">
      <c r="A855" s="27"/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ht="12.75" customHeight="1">
      <c r="A856" s="27"/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N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ht="12.75" customHeight="1">
      <c r="A857" s="27"/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N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ht="12.75" customHeight="1">
      <c r="A858" s="27"/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N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ht="12.75" customHeight="1">
      <c r="A859" s="27"/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ht="12.75" customHeight="1">
      <c r="A860" s="27"/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N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ht="12.75" customHeight="1">
      <c r="A861" s="27"/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ht="12.75" customHeight="1">
      <c r="A862" s="27"/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N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ht="12.75" customHeight="1">
      <c r="A863" s="27"/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ht="12.75" customHeight="1">
      <c r="A864" s="27"/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N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ht="12.75" customHeight="1">
      <c r="A865" s="27"/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N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ht="12.75" customHeight="1">
      <c r="A866" s="27"/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N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ht="12.75" customHeight="1">
      <c r="A867" s="27"/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ht="12.75" customHeight="1">
      <c r="A868" s="27"/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N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ht="12.75" customHeight="1">
      <c r="A869" s="27"/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ht="12.75" customHeight="1">
      <c r="A870" s="27"/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N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ht="12.75" customHeight="1">
      <c r="A871" s="27"/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N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ht="12.75" customHeight="1">
      <c r="A872" s="27"/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N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ht="12.75" customHeight="1">
      <c r="A873" s="27"/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ht="12.75" customHeight="1">
      <c r="A874" s="27"/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N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ht="12.75" customHeight="1">
      <c r="A875" s="27"/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ht="12.75" customHeight="1">
      <c r="A876" s="27"/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N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ht="12.75" customHeight="1">
      <c r="A877" s="27"/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N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ht="12.75" customHeight="1">
      <c r="A878" s="27"/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N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ht="12.75" customHeight="1">
      <c r="A879" s="27"/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N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ht="12.75" customHeight="1">
      <c r="A880" s="27"/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N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ht="12.75" customHeight="1">
      <c r="A881" s="27"/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N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ht="12.75" customHeight="1">
      <c r="A882" s="27"/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N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ht="12.75" customHeight="1">
      <c r="A883" s="27"/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N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ht="12.75" customHeight="1">
      <c r="A884" s="27"/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N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ht="12.75" customHeight="1">
      <c r="A885" s="27"/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ht="12.75" customHeight="1">
      <c r="A886" s="27"/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N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ht="12.75" customHeight="1">
      <c r="A887" s="27"/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ht="12.75" customHeight="1">
      <c r="A888" s="27"/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N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ht="12.75" customHeight="1">
      <c r="A889" s="27"/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N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ht="12.75" customHeight="1">
      <c r="A890" s="27"/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N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ht="12.75" customHeight="1">
      <c r="A891" s="27"/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N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ht="12.75" customHeight="1">
      <c r="A892" s="27"/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N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ht="12.75" customHeight="1">
      <c r="A893" s="27"/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N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ht="12.75" customHeight="1">
      <c r="A894" s="27"/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N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ht="12.75" customHeight="1">
      <c r="A895" s="27"/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ht="12.75" customHeight="1">
      <c r="A896" s="27"/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N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ht="12.75" customHeight="1">
      <c r="A897" s="27"/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ht="12.75" customHeight="1">
      <c r="A898" s="27"/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N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ht="12.75" customHeight="1">
      <c r="A899" s="27"/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N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ht="12.75" customHeight="1">
      <c r="A900" s="27"/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N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ht="12.75" customHeight="1">
      <c r="A901" s="27"/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N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ht="12.75" customHeight="1">
      <c r="A902" s="27"/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N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ht="12.75" customHeight="1">
      <c r="A903" s="27"/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ht="12.75" customHeight="1">
      <c r="A904" s="27"/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N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ht="12.75" customHeight="1">
      <c r="A905" s="27"/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N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ht="12.75" customHeight="1">
      <c r="A906" s="27"/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N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ht="12.75" customHeight="1">
      <c r="A907" s="27"/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N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ht="12.75" customHeight="1">
      <c r="A908" s="27"/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N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ht="12.75" customHeight="1">
      <c r="A909" s="27"/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ht="12.75" customHeight="1">
      <c r="A910" s="27"/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N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ht="12.75" customHeight="1">
      <c r="A911" s="27"/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N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ht="12.75" customHeight="1">
      <c r="A912" s="27"/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N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ht="12.75" customHeight="1">
      <c r="A913" s="27"/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N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ht="12.75" customHeight="1">
      <c r="A914" s="27"/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N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ht="12.75" customHeight="1">
      <c r="A915" s="27"/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ht="12.75" customHeight="1">
      <c r="A916" s="27"/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ht="12.75" customHeight="1">
      <c r="A917" s="27"/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ht="12.75" customHeight="1">
      <c r="A918" s="27"/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N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ht="12.75" customHeight="1">
      <c r="A919" s="27"/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N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ht="12.75" customHeight="1">
      <c r="A920" s="27"/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N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ht="12.75" customHeight="1">
      <c r="A921" s="27"/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N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ht="12.75" customHeight="1">
      <c r="A922" s="27"/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N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ht="12.75" customHeight="1">
      <c r="A923" s="27"/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ht="12.75" customHeight="1">
      <c r="A924" s="27"/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N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ht="12.75" customHeight="1">
      <c r="A925" s="27"/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N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ht="12.75" customHeight="1">
      <c r="A926" s="27"/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N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ht="12.75" customHeight="1">
      <c r="A927" s="27"/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N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ht="12.75" customHeight="1">
      <c r="A928" s="27"/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N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ht="12.75" customHeight="1">
      <c r="A929" s="27"/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ht="12.75" customHeight="1">
      <c r="A930" s="27"/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N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ht="12.75" customHeight="1">
      <c r="A931" s="27"/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ht="12.75" customHeight="1">
      <c r="A932" s="27"/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N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ht="12.75" customHeight="1">
      <c r="A933" s="27"/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N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ht="12.75" customHeight="1">
      <c r="A934" s="27"/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N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ht="12.75" customHeight="1">
      <c r="A935" s="27"/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N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ht="12.75" customHeight="1">
      <c r="A936" s="27"/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N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ht="12.75" customHeight="1">
      <c r="A937" s="27"/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ht="12.75" customHeight="1">
      <c r="A938" s="27"/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N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ht="12.75" customHeight="1">
      <c r="A939" s="27"/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ht="12.75" customHeight="1">
      <c r="A940" s="27"/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N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ht="12.75" customHeight="1">
      <c r="A941" s="27"/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ht="12.75" customHeight="1">
      <c r="A942" s="27"/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N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ht="12.75" customHeight="1">
      <c r="A943" s="27"/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N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ht="12.75" customHeight="1">
      <c r="A944" s="27"/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N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ht="12.75" customHeight="1">
      <c r="A945" s="27"/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N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ht="12.75" customHeight="1">
      <c r="A946" s="27"/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N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ht="12.75" customHeight="1">
      <c r="A947" s="27"/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N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ht="12.75" customHeight="1">
      <c r="A948" s="27"/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N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ht="12.75" customHeight="1">
      <c r="A949" s="27"/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N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ht="12.75" customHeight="1">
      <c r="A950" s="27"/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N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ht="12.75" customHeight="1">
      <c r="A951" s="27"/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N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ht="12.75" customHeight="1">
      <c r="A952" s="27"/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N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ht="12.75" customHeight="1">
      <c r="A953" s="27"/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N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ht="12.75" customHeight="1">
      <c r="A954" s="27"/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N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ht="12.75" customHeight="1">
      <c r="A955" s="27"/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N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ht="12.75" customHeight="1">
      <c r="A956" s="27"/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N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ht="12.75" customHeight="1">
      <c r="A957" s="27"/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N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ht="12.75" customHeight="1">
      <c r="A958" s="27"/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N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ht="12.75" customHeight="1">
      <c r="A959" s="27"/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N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ht="12.75" customHeight="1">
      <c r="A960" s="27"/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N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  <row r="961" ht="12.75" customHeight="1">
      <c r="A961" s="27"/>
      <c r="B961" s="27"/>
      <c r="C961" s="27"/>
      <c r="D961" s="27"/>
      <c r="E961" s="27"/>
      <c r="F961" s="27"/>
      <c r="G961" s="27"/>
      <c r="H961" s="27"/>
      <c r="I961" s="27"/>
      <c r="J961" s="27"/>
      <c r="K961" s="27"/>
      <c r="L961" s="27"/>
      <c r="M961" s="27"/>
      <c r="N961" s="27"/>
      <c r="O961" s="27"/>
      <c r="P961" s="27"/>
      <c r="Q961" s="27"/>
      <c r="R961" s="27"/>
      <c r="S961" s="27"/>
      <c r="T961" s="27"/>
      <c r="U961" s="27"/>
      <c r="V961" s="27"/>
      <c r="W961" s="27"/>
      <c r="X961" s="27"/>
      <c r="Y961" s="27"/>
      <c r="Z961" s="27"/>
    </row>
    <row r="962" ht="12.75" customHeight="1">
      <c r="A962" s="27"/>
      <c r="B962" s="27"/>
      <c r="C962" s="27"/>
      <c r="D962" s="27"/>
      <c r="E962" s="27"/>
      <c r="F962" s="27"/>
      <c r="G962" s="27"/>
      <c r="H962" s="27"/>
      <c r="I962" s="27"/>
      <c r="J962" s="27"/>
      <c r="K962" s="27"/>
      <c r="L962" s="27"/>
      <c r="M962" s="27"/>
      <c r="N962" s="27"/>
      <c r="O962" s="27"/>
      <c r="P962" s="27"/>
      <c r="Q962" s="27"/>
      <c r="R962" s="27"/>
      <c r="S962" s="27"/>
      <c r="T962" s="27"/>
      <c r="U962" s="27"/>
      <c r="V962" s="27"/>
      <c r="W962" s="27"/>
      <c r="X962" s="27"/>
      <c r="Y962" s="27"/>
      <c r="Z962" s="27"/>
    </row>
    <row r="963" ht="12.75" customHeight="1">
      <c r="A963" s="27"/>
      <c r="B963" s="27"/>
      <c r="C963" s="27"/>
      <c r="D963" s="27"/>
      <c r="E963" s="27"/>
      <c r="F963" s="27"/>
      <c r="G963" s="27"/>
      <c r="H963" s="27"/>
      <c r="I963" s="27"/>
      <c r="J963" s="27"/>
      <c r="K963" s="27"/>
      <c r="L963" s="27"/>
      <c r="M963" s="27"/>
      <c r="N963" s="27"/>
      <c r="O963" s="27"/>
      <c r="P963" s="27"/>
      <c r="Q963" s="27"/>
      <c r="R963" s="27"/>
      <c r="S963" s="27"/>
      <c r="T963" s="27"/>
      <c r="U963" s="27"/>
      <c r="V963" s="27"/>
      <c r="W963" s="27"/>
      <c r="X963" s="27"/>
      <c r="Y963" s="27"/>
      <c r="Z963" s="27"/>
    </row>
    <row r="964" ht="12.75" customHeight="1">
      <c r="A964" s="27"/>
      <c r="B964" s="27"/>
      <c r="C964" s="27"/>
      <c r="D964" s="27"/>
      <c r="E964" s="27"/>
      <c r="F964" s="27"/>
      <c r="G964" s="27"/>
      <c r="H964" s="27"/>
      <c r="I964" s="27"/>
      <c r="J964" s="27"/>
      <c r="K964" s="27"/>
      <c r="L964" s="27"/>
      <c r="M964" s="27"/>
      <c r="N964" s="27"/>
      <c r="O964" s="27"/>
      <c r="P964" s="27"/>
      <c r="Q964" s="27"/>
      <c r="R964" s="27"/>
      <c r="S964" s="27"/>
      <c r="T964" s="27"/>
      <c r="U964" s="27"/>
      <c r="V964" s="27"/>
      <c r="W964" s="27"/>
      <c r="X964" s="27"/>
      <c r="Y964" s="27"/>
      <c r="Z964" s="27"/>
    </row>
    <row r="965" ht="12.75" customHeight="1">
      <c r="A965" s="27"/>
      <c r="B965" s="27"/>
      <c r="C965" s="27"/>
      <c r="D965" s="27"/>
      <c r="E965" s="27"/>
      <c r="F965" s="27"/>
      <c r="G965" s="27"/>
      <c r="H965" s="27"/>
      <c r="I965" s="27"/>
      <c r="J965" s="27"/>
      <c r="K965" s="27"/>
      <c r="L965" s="27"/>
      <c r="M965" s="27"/>
      <c r="N965" s="27"/>
      <c r="O965" s="27"/>
      <c r="P965" s="27"/>
      <c r="Q965" s="27"/>
      <c r="R965" s="27"/>
      <c r="S965" s="27"/>
      <c r="T965" s="27"/>
      <c r="U965" s="27"/>
      <c r="V965" s="27"/>
      <c r="W965" s="27"/>
      <c r="X965" s="27"/>
      <c r="Y965" s="27"/>
      <c r="Z965" s="27"/>
    </row>
    <row r="966" ht="12.75" customHeight="1">
      <c r="A966" s="27"/>
      <c r="B966" s="27"/>
      <c r="C966" s="27"/>
      <c r="D966" s="27"/>
      <c r="E966" s="27"/>
      <c r="F966" s="27"/>
      <c r="G966" s="27"/>
      <c r="H966" s="27"/>
      <c r="I966" s="27"/>
      <c r="J966" s="27"/>
      <c r="K966" s="27"/>
      <c r="L966" s="27"/>
      <c r="M966" s="27"/>
      <c r="N966" s="27"/>
      <c r="O966" s="27"/>
      <c r="P966" s="27"/>
      <c r="Q966" s="27"/>
      <c r="R966" s="27"/>
      <c r="S966" s="27"/>
      <c r="T966" s="27"/>
      <c r="U966" s="27"/>
      <c r="V966" s="27"/>
      <c r="W966" s="27"/>
      <c r="X966" s="27"/>
      <c r="Y966" s="27"/>
      <c r="Z966" s="27"/>
    </row>
    <row r="967" ht="12.75" customHeight="1">
      <c r="A967" s="27"/>
      <c r="B967" s="27"/>
      <c r="C967" s="27"/>
      <c r="D967" s="27"/>
      <c r="E967" s="27"/>
      <c r="F967" s="27"/>
      <c r="G967" s="27"/>
      <c r="H967" s="27"/>
      <c r="I967" s="27"/>
      <c r="J967" s="27"/>
      <c r="K967" s="27"/>
      <c r="L967" s="27"/>
      <c r="M967" s="27"/>
      <c r="N967" s="27"/>
      <c r="O967" s="27"/>
      <c r="P967" s="27"/>
      <c r="Q967" s="27"/>
      <c r="R967" s="27"/>
      <c r="S967" s="27"/>
      <c r="T967" s="27"/>
      <c r="U967" s="27"/>
      <c r="V967" s="27"/>
      <c r="W967" s="27"/>
      <c r="X967" s="27"/>
      <c r="Y967" s="27"/>
      <c r="Z967" s="27"/>
    </row>
    <row r="968" ht="12.75" customHeight="1">
      <c r="A968" s="27"/>
      <c r="B968" s="27"/>
      <c r="C968" s="27"/>
      <c r="D968" s="27"/>
      <c r="E968" s="27"/>
      <c r="F968" s="27"/>
      <c r="G968" s="27"/>
      <c r="H968" s="27"/>
      <c r="I968" s="27"/>
      <c r="J968" s="27"/>
      <c r="K968" s="27"/>
      <c r="L968" s="27"/>
      <c r="M968" s="27"/>
      <c r="N968" s="27"/>
      <c r="O968" s="27"/>
      <c r="P968" s="27"/>
      <c r="Q968" s="27"/>
      <c r="R968" s="27"/>
      <c r="S968" s="27"/>
      <c r="T968" s="27"/>
      <c r="U968" s="27"/>
      <c r="V968" s="27"/>
      <c r="W968" s="27"/>
      <c r="X968" s="27"/>
      <c r="Y968" s="27"/>
      <c r="Z968" s="27"/>
    </row>
    <row r="969" ht="12.75" customHeight="1">
      <c r="A969" s="27"/>
      <c r="B969" s="27"/>
      <c r="C969" s="27"/>
      <c r="D969" s="27"/>
      <c r="E969" s="27"/>
      <c r="F969" s="27"/>
      <c r="G969" s="27"/>
      <c r="H969" s="27"/>
      <c r="I969" s="27"/>
      <c r="J969" s="27"/>
      <c r="K969" s="27"/>
      <c r="L969" s="27"/>
      <c r="M969" s="27"/>
      <c r="N969" s="27"/>
      <c r="O969" s="27"/>
      <c r="P969" s="27"/>
      <c r="Q969" s="27"/>
      <c r="R969" s="27"/>
      <c r="S969" s="27"/>
      <c r="T969" s="27"/>
      <c r="U969" s="27"/>
      <c r="V969" s="27"/>
      <c r="W969" s="27"/>
      <c r="X969" s="27"/>
      <c r="Y969" s="27"/>
      <c r="Z969" s="27"/>
    </row>
    <row r="970" ht="12.75" customHeight="1">
      <c r="A970" s="27"/>
      <c r="B970" s="27"/>
      <c r="C970" s="27"/>
      <c r="D970" s="27"/>
      <c r="E970" s="27"/>
      <c r="F970" s="27"/>
      <c r="G970" s="27"/>
      <c r="H970" s="27"/>
      <c r="I970" s="27"/>
      <c r="J970" s="27"/>
      <c r="K970" s="27"/>
      <c r="L970" s="27"/>
      <c r="M970" s="27"/>
      <c r="N970" s="27"/>
      <c r="O970" s="27"/>
      <c r="P970" s="27"/>
      <c r="Q970" s="27"/>
      <c r="R970" s="27"/>
      <c r="S970" s="27"/>
      <c r="T970" s="27"/>
      <c r="U970" s="27"/>
      <c r="V970" s="27"/>
      <c r="W970" s="27"/>
      <c r="X970" s="27"/>
      <c r="Y970" s="27"/>
      <c r="Z970" s="27"/>
    </row>
    <row r="971" ht="12.75" customHeight="1">
      <c r="A971" s="27"/>
      <c r="B971" s="27"/>
      <c r="C971" s="27"/>
      <c r="D971" s="27"/>
      <c r="E971" s="27"/>
      <c r="F971" s="27"/>
      <c r="G971" s="27"/>
      <c r="H971" s="27"/>
      <c r="I971" s="27"/>
      <c r="J971" s="27"/>
      <c r="K971" s="27"/>
      <c r="L971" s="27"/>
      <c r="M971" s="27"/>
      <c r="N971" s="27"/>
      <c r="O971" s="27"/>
      <c r="P971" s="27"/>
      <c r="Q971" s="27"/>
      <c r="R971" s="27"/>
      <c r="S971" s="27"/>
      <c r="T971" s="27"/>
      <c r="U971" s="27"/>
      <c r="V971" s="27"/>
      <c r="W971" s="27"/>
      <c r="X971" s="27"/>
      <c r="Y971" s="27"/>
      <c r="Z971" s="27"/>
    </row>
    <row r="972" ht="12.75" customHeight="1">
      <c r="A972" s="27"/>
      <c r="B972" s="27"/>
      <c r="C972" s="27"/>
      <c r="D972" s="27"/>
      <c r="E972" s="27"/>
      <c r="F972" s="27"/>
      <c r="G972" s="27"/>
      <c r="H972" s="27"/>
      <c r="I972" s="27"/>
      <c r="J972" s="27"/>
      <c r="K972" s="27"/>
      <c r="L972" s="27"/>
      <c r="M972" s="27"/>
      <c r="N972" s="27"/>
      <c r="O972" s="27"/>
      <c r="P972" s="27"/>
      <c r="Q972" s="27"/>
      <c r="R972" s="27"/>
      <c r="S972" s="27"/>
      <c r="T972" s="27"/>
      <c r="U972" s="27"/>
      <c r="V972" s="27"/>
      <c r="W972" s="27"/>
      <c r="X972" s="27"/>
      <c r="Y972" s="27"/>
      <c r="Z972" s="27"/>
    </row>
    <row r="973" ht="12.75" customHeight="1">
      <c r="A973" s="27"/>
      <c r="B973" s="27"/>
      <c r="C973" s="27"/>
      <c r="D973" s="27"/>
      <c r="E973" s="27"/>
      <c r="F973" s="27"/>
      <c r="G973" s="27"/>
      <c r="H973" s="27"/>
      <c r="I973" s="27"/>
      <c r="J973" s="27"/>
      <c r="K973" s="27"/>
      <c r="L973" s="27"/>
      <c r="M973" s="27"/>
      <c r="N973" s="27"/>
      <c r="O973" s="27"/>
      <c r="P973" s="27"/>
      <c r="Q973" s="27"/>
      <c r="R973" s="27"/>
      <c r="S973" s="27"/>
      <c r="T973" s="27"/>
      <c r="U973" s="27"/>
      <c r="V973" s="27"/>
      <c r="W973" s="27"/>
      <c r="X973" s="27"/>
      <c r="Y973" s="27"/>
      <c r="Z973" s="27"/>
    </row>
    <row r="974" ht="12.75" customHeight="1">
      <c r="A974" s="27"/>
      <c r="B974" s="27"/>
      <c r="C974" s="27"/>
      <c r="D974" s="27"/>
      <c r="E974" s="27"/>
      <c r="F974" s="27"/>
      <c r="G974" s="27"/>
      <c r="H974" s="27"/>
      <c r="I974" s="27"/>
      <c r="J974" s="27"/>
      <c r="K974" s="27"/>
      <c r="L974" s="27"/>
      <c r="M974" s="27"/>
      <c r="N974" s="27"/>
      <c r="O974" s="27"/>
      <c r="P974" s="27"/>
      <c r="Q974" s="27"/>
      <c r="R974" s="27"/>
      <c r="S974" s="27"/>
      <c r="T974" s="27"/>
      <c r="U974" s="27"/>
      <c r="V974" s="27"/>
      <c r="W974" s="27"/>
      <c r="X974" s="27"/>
      <c r="Y974" s="27"/>
      <c r="Z974" s="27"/>
    </row>
    <row r="975" ht="12.75" customHeight="1">
      <c r="A975" s="27"/>
      <c r="B975" s="27"/>
      <c r="C975" s="27"/>
      <c r="D975" s="27"/>
      <c r="E975" s="27"/>
      <c r="F975" s="27"/>
      <c r="G975" s="27"/>
      <c r="H975" s="27"/>
      <c r="I975" s="27"/>
      <c r="J975" s="27"/>
      <c r="K975" s="27"/>
      <c r="L975" s="27"/>
      <c r="M975" s="27"/>
      <c r="N975" s="27"/>
      <c r="O975" s="27"/>
      <c r="P975" s="27"/>
      <c r="Q975" s="27"/>
      <c r="R975" s="27"/>
      <c r="S975" s="27"/>
      <c r="T975" s="27"/>
      <c r="U975" s="27"/>
      <c r="V975" s="27"/>
      <c r="W975" s="27"/>
      <c r="X975" s="27"/>
      <c r="Y975" s="27"/>
      <c r="Z975" s="27"/>
    </row>
    <row r="976" ht="12.75" customHeight="1">
      <c r="A976" s="27"/>
      <c r="B976" s="27"/>
      <c r="C976" s="27"/>
      <c r="D976" s="27"/>
      <c r="E976" s="27"/>
      <c r="F976" s="27"/>
      <c r="G976" s="27"/>
      <c r="H976" s="27"/>
      <c r="I976" s="27"/>
      <c r="J976" s="27"/>
      <c r="K976" s="27"/>
      <c r="L976" s="27"/>
      <c r="M976" s="27"/>
      <c r="N976" s="27"/>
      <c r="O976" s="27"/>
      <c r="P976" s="27"/>
      <c r="Q976" s="27"/>
      <c r="R976" s="27"/>
      <c r="S976" s="27"/>
      <c r="T976" s="27"/>
      <c r="U976" s="27"/>
      <c r="V976" s="27"/>
      <c r="W976" s="27"/>
      <c r="X976" s="27"/>
      <c r="Y976" s="27"/>
      <c r="Z976" s="27"/>
    </row>
    <row r="977" ht="12.75" customHeight="1">
      <c r="A977" s="27"/>
      <c r="B977" s="27"/>
      <c r="C977" s="27"/>
      <c r="D977" s="27"/>
      <c r="E977" s="27"/>
      <c r="F977" s="27"/>
      <c r="G977" s="27"/>
      <c r="H977" s="27"/>
      <c r="I977" s="27"/>
      <c r="J977" s="27"/>
      <c r="K977" s="27"/>
      <c r="L977" s="27"/>
      <c r="M977" s="27"/>
      <c r="N977" s="27"/>
      <c r="O977" s="27"/>
      <c r="P977" s="27"/>
      <c r="Q977" s="27"/>
      <c r="R977" s="27"/>
      <c r="S977" s="27"/>
      <c r="T977" s="27"/>
      <c r="U977" s="27"/>
      <c r="V977" s="27"/>
      <c r="W977" s="27"/>
      <c r="X977" s="27"/>
      <c r="Y977" s="27"/>
      <c r="Z977" s="27"/>
    </row>
    <row r="978" ht="12.75" customHeight="1">
      <c r="A978" s="27"/>
      <c r="B978" s="27"/>
      <c r="C978" s="27"/>
      <c r="D978" s="27"/>
      <c r="E978" s="27"/>
      <c r="F978" s="27"/>
      <c r="G978" s="27"/>
      <c r="H978" s="27"/>
      <c r="I978" s="27"/>
      <c r="J978" s="27"/>
      <c r="K978" s="27"/>
      <c r="L978" s="27"/>
      <c r="M978" s="27"/>
      <c r="N978" s="27"/>
      <c r="O978" s="27"/>
      <c r="P978" s="27"/>
      <c r="Q978" s="27"/>
      <c r="R978" s="27"/>
      <c r="S978" s="27"/>
      <c r="T978" s="27"/>
      <c r="U978" s="27"/>
      <c r="V978" s="27"/>
      <c r="W978" s="27"/>
      <c r="X978" s="27"/>
      <c r="Y978" s="27"/>
      <c r="Z978" s="27"/>
    </row>
    <row r="979" ht="12.75" customHeight="1">
      <c r="A979" s="27"/>
      <c r="B979" s="27"/>
      <c r="C979" s="27"/>
      <c r="D979" s="27"/>
      <c r="E979" s="27"/>
      <c r="F979" s="27"/>
      <c r="G979" s="27"/>
      <c r="H979" s="27"/>
      <c r="I979" s="27"/>
      <c r="J979" s="27"/>
      <c r="K979" s="27"/>
      <c r="L979" s="27"/>
      <c r="M979" s="27"/>
      <c r="N979" s="27"/>
      <c r="O979" s="27"/>
      <c r="P979" s="27"/>
      <c r="Q979" s="27"/>
      <c r="R979" s="27"/>
      <c r="S979" s="27"/>
      <c r="T979" s="27"/>
      <c r="U979" s="27"/>
      <c r="V979" s="27"/>
      <c r="W979" s="27"/>
      <c r="X979" s="27"/>
      <c r="Y979" s="27"/>
      <c r="Z979" s="27"/>
    </row>
    <row r="980" ht="12.75" customHeight="1">
      <c r="A980" s="27"/>
      <c r="B980" s="27"/>
      <c r="C980" s="27"/>
      <c r="D980" s="27"/>
      <c r="E980" s="27"/>
      <c r="F980" s="27"/>
      <c r="G980" s="27"/>
      <c r="H980" s="27"/>
      <c r="I980" s="27"/>
      <c r="J980" s="27"/>
      <c r="K980" s="27"/>
      <c r="L980" s="27"/>
      <c r="M980" s="27"/>
      <c r="N980" s="27"/>
      <c r="O980" s="27"/>
      <c r="P980" s="27"/>
      <c r="Q980" s="27"/>
      <c r="R980" s="27"/>
      <c r="S980" s="27"/>
      <c r="T980" s="27"/>
      <c r="U980" s="27"/>
      <c r="V980" s="27"/>
      <c r="W980" s="27"/>
      <c r="X980" s="27"/>
      <c r="Y980" s="27"/>
      <c r="Z980" s="27"/>
    </row>
    <row r="981" ht="12.75" customHeight="1">
      <c r="A981" s="27"/>
      <c r="B981" s="27"/>
      <c r="C981" s="27"/>
      <c r="D981" s="27"/>
      <c r="E981" s="27"/>
      <c r="F981" s="27"/>
      <c r="G981" s="27"/>
      <c r="H981" s="27"/>
      <c r="I981" s="27"/>
      <c r="J981" s="27"/>
      <c r="K981" s="27"/>
      <c r="L981" s="27"/>
      <c r="M981" s="27"/>
      <c r="N981" s="27"/>
      <c r="O981" s="27"/>
      <c r="P981" s="27"/>
      <c r="Q981" s="27"/>
      <c r="R981" s="27"/>
      <c r="S981" s="27"/>
      <c r="T981" s="27"/>
      <c r="U981" s="27"/>
      <c r="V981" s="27"/>
      <c r="W981" s="27"/>
      <c r="X981" s="27"/>
      <c r="Y981" s="27"/>
      <c r="Z981" s="27"/>
    </row>
    <row r="982" ht="12.75" customHeight="1">
      <c r="A982" s="27"/>
      <c r="B982" s="27"/>
      <c r="C982" s="27"/>
      <c r="D982" s="27"/>
      <c r="E982" s="27"/>
      <c r="F982" s="27"/>
      <c r="G982" s="27"/>
      <c r="H982" s="27"/>
      <c r="I982" s="27"/>
      <c r="J982" s="27"/>
      <c r="K982" s="27"/>
      <c r="L982" s="27"/>
      <c r="M982" s="27"/>
      <c r="N982" s="27"/>
      <c r="O982" s="27"/>
      <c r="P982" s="27"/>
      <c r="Q982" s="27"/>
      <c r="R982" s="27"/>
      <c r="S982" s="27"/>
      <c r="T982" s="27"/>
      <c r="U982" s="27"/>
      <c r="V982" s="27"/>
      <c r="W982" s="27"/>
      <c r="X982" s="27"/>
      <c r="Y982" s="27"/>
      <c r="Z982" s="27"/>
    </row>
    <row r="983" ht="12.75" customHeight="1">
      <c r="A983" s="27"/>
      <c r="B983" s="27"/>
      <c r="C983" s="27"/>
      <c r="D983" s="27"/>
      <c r="E983" s="27"/>
      <c r="F983" s="27"/>
      <c r="G983" s="27"/>
      <c r="H983" s="27"/>
      <c r="I983" s="27"/>
      <c r="J983" s="27"/>
      <c r="K983" s="27"/>
      <c r="L983" s="27"/>
      <c r="M983" s="27"/>
      <c r="N983" s="27"/>
      <c r="O983" s="27"/>
      <c r="P983" s="27"/>
      <c r="Q983" s="27"/>
      <c r="R983" s="27"/>
      <c r="S983" s="27"/>
      <c r="T983" s="27"/>
      <c r="U983" s="27"/>
      <c r="V983" s="27"/>
      <c r="W983" s="27"/>
      <c r="X983" s="27"/>
      <c r="Y983" s="27"/>
      <c r="Z983" s="27"/>
    </row>
    <row r="984" ht="12.75" customHeight="1">
      <c r="A984" s="27"/>
      <c r="B984" s="27"/>
      <c r="C984" s="27"/>
      <c r="D984" s="27"/>
      <c r="E984" s="27"/>
      <c r="F984" s="27"/>
      <c r="G984" s="27"/>
      <c r="H984" s="27"/>
      <c r="I984" s="27"/>
      <c r="J984" s="27"/>
      <c r="K984" s="27"/>
      <c r="L984" s="27"/>
      <c r="M984" s="27"/>
      <c r="N984" s="27"/>
      <c r="O984" s="27"/>
      <c r="P984" s="27"/>
      <c r="Q984" s="27"/>
      <c r="R984" s="27"/>
      <c r="S984" s="27"/>
      <c r="T984" s="27"/>
      <c r="U984" s="27"/>
      <c r="V984" s="27"/>
      <c r="W984" s="27"/>
      <c r="X984" s="27"/>
      <c r="Y984" s="27"/>
      <c r="Z984" s="27"/>
    </row>
    <row r="985" ht="12.75" customHeight="1">
      <c r="A985" s="27"/>
      <c r="B985" s="27"/>
      <c r="C985" s="27"/>
      <c r="D985" s="27"/>
      <c r="E985" s="27"/>
      <c r="F985" s="27"/>
      <c r="G985" s="27"/>
      <c r="H985" s="27"/>
      <c r="I985" s="27"/>
      <c r="J985" s="27"/>
      <c r="K985" s="27"/>
      <c r="L985" s="27"/>
      <c r="M985" s="27"/>
      <c r="N985" s="27"/>
      <c r="O985" s="27"/>
      <c r="P985" s="27"/>
      <c r="Q985" s="27"/>
      <c r="R985" s="27"/>
      <c r="S985" s="27"/>
      <c r="T985" s="27"/>
      <c r="U985" s="27"/>
      <c r="V985" s="27"/>
      <c r="W985" s="27"/>
      <c r="X985" s="27"/>
      <c r="Y985" s="27"/>
      <c r="Z985" s="27"/>
    </row>
    <row r="986" ht="12.75" customHeight="1">
      <c r="A986" s="27"/>
      <c r="B986" s="27"/>
      <c r="C986" s="27"/>
      <c r="D986" s="27"/>
      <c r="E986" s="27"/>
      <c r="F986" s="27"/>
      <c r="G986" s="27"/>
      <c r="H986" s="27"/>
      <c r="I986" s="27"/>
      <c r="J986" s="27"/>
      <c r="K986" s="27"/>
      <c r="L986" s="27"/>
      <c r="M986" s="27"/>
      <c r="N986" s="27"/>
      <c r="O986" s="27"/>
      <c r="P986" s="27"/>
      <c r="Q986" s="27"/>
      <c r="R986" s="27"/>
      <c r="S986" s="27"/>
      <c r="T986" s="27"/>
      <c r="U986" s="27"/>
      <c r="V986" s="27"/>
      <c r="W986" s="27"/>
      <c r="X986" s="27"/>
      <c r="Y986" s="27"/>
      <c r="Z986" s="27"/>
    </row>
    <row r="987" ht="12.75" customHeight="1">
      <c r="A987" s="27"/>
      <c r="B987" s="27"/>
      <c r="C987" s="27"/>
      <c r="D987" s="27"/>
      <c r="E987" s="27"/>
      <c r="F987" s="27"/>
      <c r="G987" s="27"/>
      <c r="H987" s="27"/>
      <c r="I987" s="27"/>
      <c r="J987" s="27"/>
      <c r="K987" s="27"/>
      <c r="L987" s="27"/>
      <c r="M987" s="27"/>
      <c r="N987" s="27"/>
      <c r="O987" s="27"/>
      <c r="P987" s="27"/>
      <c r="Q987" s="27"/>
      <c r="R987" s="27"/>
      <c r="S987" s="27"/>
      <c r="T987" s="27"/>
      <c r="U987" s="27"/>
      <c r="V987" s="27"/>
      <c r="W987" s="27"/>
      <c r="X987" s="27"/>
      <c r="Y987" s="27"/>
      <c r="Z987" s="27"/>
    </row>
    <row r="988" ht="12.75" customHeight="1">
      <c r="A988" s="27"/>
      <c r="B988" s="27"/>
      <c r="C988" s="27"/>
      <c r="D988" s="27"/>
      <c r="E988" s="27"/>
      <c r="F988" s="27"/>
      <c r="G988" s="27"/>
      <c r="H988" s="27"/>
      <c r="I988" s="27"/>
      <c r="J988" s="27"/>
      <c r="K988" s="27"/>
      <c r="L988" s="27"/>
      <c r="M988" s="27"/>
      <c r="N988" s="27"/>
      <c r="O988" s="27"/>
      <c r="P988" s="27"/>
      <c r="Q988" s="27"/>
      <c r="R988" s="27"/>
      <c r="S988" s="27"/>
      <c r="T988" s="27"/>
      <c r="U988" s="27"/>
      <c r="V988" s="27"/>
      <c r="W988" s="27"/>
      <c r="X988" s="27"/>
      <c r="Y988" s="27"/>
      <c r="Z988" s="27"/>
    </row>
    <row r="989" ht="12.75" customHeight="1">
      <c r="A989" s="27"/>
      <c r="B989" s="27"/>
      <c r="C989" s="27"/>
      <c r="D989" s="27"/>
      <c r="E989" s="27"/>
      <c r="F989" s="27"/>
      <c r="G989" s="27"/>
      <c r="H989" s="27"/>
      <c r="I989" s="27"/>
      <c r="J989" s="27"/>
      <c r="K989" s="27"/>
      <c r="L989" s="27"/>
      <c r="M989" s="27"/>
      <c r="N989" s="27"/>
      <c r="O989" s="27"/>
      <c r="P989" s="27"/>
      <c r="Q989" s="27"/>
      <c r="R989" s="27"/>
      <c r="S989" s="27"/>
      <c r="T989" s="27"/>
      <c r="U989" s="27"/>
      <c r="V989" s="27"/>
      <c r="W989" s="27"/>
      <c r="X989" s="27"/>
      <c r="Y989" s="27"/>
      <c r="Z989" s="27"/>
    </row>
    <row r="990" ht="12.75" customHeight="1">
      <c r="A990" s="27"/>
      <c r="B990" s="27"/>
      <c r="C990" s="27"/>
      <c r="D990" s="27"/>
      <c r="E990" s="27"/>
      <c r="F990" s="27"/>
      <c r="G990" s="27"/>
      <c r="H990" s="27"/>
      <c r="I990" s="27"/>
      <c r="J990" s="27"/>
      <c r="K990" s="27"/>
      <c r="L990" s="27"/>
      <c r="M990" s="27"/>
      <c r="N990" s="27"/>
      <c r="O990" s="27"/>
      <c r="P990" s="27"/>
      <c r="Q990" s="27"/>
      <c r="R990" s="27"/>
      <c r="S990" s="27"/>
      <c r="T990" s="27"/>
      <c r="U990" s="27"/>
      <c r="V990" s="27"/>
      <c r="W990" s="27"/>
      <c r="X990" s="27"/>
      <c r="Y990" s="27"/>
      <c r="Z990" s="27"/>
    </row>
    <row r="991" ht="12.75" customHeight="1">
      <c r="A991" s="27"/>
      <c r="B991" s="27"/>
      <c r="C991" s="27"/>
      <c r="D991" s="27"/>
      <c r="E991" s="27"/>
      <c r="F991" s="27"/>
      <c r="G991" s="27"/>
      <c r="H991" s="27"/>
      <c r="I991" s="27"/>
      <c r="J991" s="27"/>
      <c r="K991" s="27"/>
      <c r="L991" s="27"/>
      <c r="M991" s="27"/>
      <c r="N991" s="27"/>
      <c r="O991" s="27"/>
      <c r="P991" s="27"/>
      <c r="Q991" s="27"/>
      <c r="R991" s="27"/>
      <c r="S991" s="27"/>
      <c r="T991" s="27"/>
      <c r="U991" s="27"/>
      <c r="V991" s="27"/>
      <c r="W991" s="27"/>
      <c r="X991" s="27"/>
      <c r="Y991" s="27"/>
      <c r="Z991" s="27"/>
    </row>
    <row r="992" ht="12.75" customHeight="1">
      <c r="A992" s="27"/>
      <c r="B992" s="27"/>
      <c r="C992" s="27"/>
      <c r="D992" s="27"/>
      <c r="E992" s="27"/>
      <c r="F992" s="27"/>
      <c r="G992" s="27"/>
      <c r="H992" s="27"/>
      <c r="I992" s="27"/>
      <c r="J992" s="27"/>
      <c r="K992" s="27"/>
      <c r="L992" s="27"/>
      <c r="M992" s="27"/>
      <c r="N992" s="27"/>
      <c r="O992" s="27"/>
      <c r="P992" s="27"/>
      <c r="Q992" s="27"/>
      <c r="R992" s="27"/>
      <c r="S992" s="27"/>
      <c r="T992" s="27"/>
      <c r="U992" s="27"/>
      <c r="V992" s="27"/>
      <c r="W992" s="27"/>
      <c r="X992" s="27"/>
      <c r="Y992" s="27"/>
      <c r="Z992" s="27"/>
    </row>
    <row r="993" ht="12.75" customHeight="1">
      <c r="A993" s="27"/>
      <c r="B993" s="27"/>
      <c r="C993" s="27"/>
      <c r="D993" s="27"/>
      <c r="E993" s="27"/>
      <c r="F993" s="27"/>
      <c r="G993" s="27"/>
      <c r="H993" s="27"/>
      <c r="I993" s="27"/>
      <c r="J993" s="27"/>
      <c r="K993" s="27"/>
      <c r="L993" s="27"/>
      <c r="M993" s="27"/>
      <c r="N993" s="27"/>
      <c r="O993" s="27"/>
      <c r="P993" s="27"/>
      <c r="Q993" s="27"/>
      <c r="R993" s="27"/>
      <c r="S993" s="27"/>
      <c r="T993" s="27"/>
      <c r="U993" s="27"/>
      <c r="V993" s="27"/>
      <c r="W993" s="27"/>
      <c r="X993" s="27"/>
      <c r="Y993" s="27"/>
      <c r="Z993" s="27"/>
    </row>
    <row r="994" ht="12.75" customHeight="1">
      <c r="A994" s="27"/>
      <c r="B994" s="27"/>
      <c r="C994" s="27"/>
      <c r="D994" s="27"/>
      <c r="E994" s="27"/>
      <c r="F994" s="27"/>
      <c r="G994" s="27"/>
      <c r="H994" s="27"/>
      <c r="I994" s="27"/>
      <c r="J994" s="27"/>
      <c r="K994" s="27"/>
      <c r="L994" s="27"/>
      <c r="M994" s="27"/>
      <c r="N994" s="27"/>
      <c r="O994" s="27"/>
      <c r="P994" s="27"/>
      <c r="Q994" s="27"/>
      <c r="R994" s="27"/>
      <c r="S994" s="27"/>
      <c r="T994" s="27"/>
      <c r="U994" s="27"/>
      <c r="V994" s="27"/>
      <c r="W994" s="27"/>
      <c r="X994" s="27"/>
      <c r="Y994" s="27"/>
      <c r="Z994" s="27"/>
    </row>
    <row r="995" ht="12.75" customHeight="1">
      <c r="A995" s="27"/>
      <c r="B995" s="27"/>
      <c r="C995" s="27"/>
      <c r="D995" s="27"/>
      <c r="E995" s="27"/>
      <c r="F995" s="27"/>
      <c r="G995" s="27"/>
      <c r="H995" s="27"/>
      <c r="I995" s="27"/>
      <c r="J995" s="27"/>
      <c r="K995" s="27"/>
      <c r="L995" s="27"/>
      <c r="M995" s="27"/>
      <c r="N995" s="27"/>
      <c r="O995" s="27"/>
      <c r="P995" s="27"/>
      <c r="Q995" s="27"/>
      <c r="R995" s="27"/>
      <c r="S995" s="27"/>
      <c r="T995" s="27"/>
      <c r="U995" s="27"/>
      <c r="V995" s="27"/>
      <c r="W995" s="27"/>
      <c r="X995" s="27"/>
      <c r="Y995" s="27"/>
      <c r="Z995" s="27"/>
    </row>
    <row r="996" ht="12.75" customHeight="1">
      <c r="A996" s="27"/>
      <c r="B996" s="27"/>
      <c r="C996" s="27"/>
      <c r="D996" s="27"/>
      <c r="E996" s="27"/>
      <c r="F996" s="27"/>
      <c r="G996" s="27"/>
      <c r="H996" s="27"/>
      <c r="I996" s="27"/>
      <c r="J996" s="27"/>
      <c r="K996" s="27"/>
      <c r="L996" s="27"/>
      <c r="M996" s="27"/>
      <c r="N996" s="27"/>
      <c r="O996" s="27"/>
      <c r="P996" s="27"/>
      <c r="Q996" s="27"/>
      <c r="R996" s="27"/>
      <c r="S996" s="27"/>
      <c r="T996" s="27"/>
      <c r="U996" s="27"/>
      <c r="V996" s="27"/>
      <c r="W996" s="27"/>
      <c r="X996" s="27"/>
      <c r="Y996" s="27"/>
      <c r="Z996" s="27"/>
    </row>
    <row r="997" ht="12.75" customHeight="1">
      <c r="A997" s="27"/>
      <c r="B997" s="27"/>
      <c r="C997" s="27"/>
      <c r="D997" s="27"/>
      <c r="E997" s="27"/>
      <c r="F997" s="27"/>
      <c r="G997" s="27"/>
      <c r="H997" s="27"/>
      <c r="I997" s="27"/>
      <c r="J997" s="27"/>
      <c r="K997" s="27"/>
      <c r="L997" s="27"/>
      <c r="M997" s="27"/>
      <c r="N997" s="27"/>
      <c r="O997" s="27"/>
      <c r="P997" s="27"/>
      <c r="Q997" s="27"/>
      <c r="R997" s="27"/>
      <c r="S997" s="27"/>
      <c r="T997" s="27"/>
      <c r="U997" s="27"/>
      <c r="V997" s="27"/>
      <c r="W997" s="27"/>
      <c r="X997" s="27"/>
      <c r="Y997" s="27"/>
      <c r="Z997" s="27"/>
    </row>
    <row r="998" ht="12.75" customHeight="1">
      <c r="A998" s="27"/>
      <c r="B998" s="27"/>
      <c r="C998" s="27"/>
      <c r="D998" s="27"/>
      <c r="E998" s="27"/>
      <c r="F998" s="27"/>
      <c r="G998" s="27"/>
      <c r="H998" s="27"/>
      <c r="I998" s="27"/>
      <c r="J998" s="27"/>
      <c r="K998" s="27"/>
      <c r="L998" s="27"/>
      <c r="M998" s="27"/>
      <c r="N998" s="27"/>
      <c r="O998" s="27"/>
      <c r="P998" s="27"/>
      <c r="Q998" s="27"/>
      <c r="R998" s="27"/>
      <c r="S998" s="27"/>
      <c r="T998" s="27"/>
      <c r="U998" s="27"/>
      <c r="V998" s="27"/>
      <c r="W998" s="27"/>
      <c r="X998" s="27"/>
      <c r="Y998" s="27"/>
      <c r="Z998" s="27"/>
    </row>
    <row r="999" ht="12.75" customHeight="1">
      <c r="A999" s="27"/>
      <c r="B999" s="27"/>
      <c r="C999" s="27"/>
      <c r="D999" s="27"/>
      <c r="E999" s="27"/>
      <c r="F999" s="27"/>
      <c r="G999" s="27"/>
      <c r="H999" s="27"/>
      <c r="I999" s="27"/>
      <c r="J999" s="27"/>
      <c r="K999" s="27"/>
      <c r="L999" s="27"/>
      <c r="M999" s="27"/>
      <c r="N999" s="27"/>
      <c r="O999" s="27"/>
      <c r="P999" s="27"/>
      <c r="Q999" s="27"/>
      <c r="R999" s="27"/>
      <c r="S999" s="27"/>
      <c r="T999" s="27"/>
      <c r="U999" s="27"/>
      <c r="V999" s="27"/>
      <c r="W999" s="27"/>
      <c r="X999" s="27"/>
      <c r="Y999" s="27"/>
      <c r="Z999" s="27"/>
    </row>
    <row r="1000" ht="12.75" customHeight="1">
      <c r="A1000" s="27"/>
      <c r="B1000" s="27"/>
      <c r="C1000" s="27"/>
      <c r="D1000" s="27"/>
      <c r="E1000" s="27"/>
      <c r="F1000" s="27"/>
      <c r="G1000" s="27"/>
      <c r="H1000" s="27"/>
      <c r="I1000" s="27"/>
      <c r="J1000" s="27"/>
      <c r="K1000" s="27"/>
      <c r="L1000" s="27"/>
      <c r="M1000" s="27"/>
      <c r="N1000" s="27"/>
      <c r="O1000" s="27"/>
      <c r="P1000" s="27"/>
      <c r="Q1000" s="27"/>
      <c r="R1000" s="27"/>
      <c r="S1000" s="27"/>
      <c r="T1000" s="27"/>
      <c r="U1000" s="27"/>
      <c r="V1000" s="27"/>
      <c r="W1000" s="27"/>
      <c r="X1000" s="27"/>
      <c r="Y1000" s="27"/>
      <c r="Z1000" s="27"/>
    </row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3.25"/>
    <col customWidth="1" min="2" max="7" width="25.75"/>
    <col customWidth="1" min="8" max="8" width="3.25"/>
    <col customWidth="1" min="9" max="26" width="10.63"/>
  </cols>
  <sheetData>
    <row r="1" ht="12.75" customHeight="1">
      <c r="B1" s="28"/>
      <c r="C1" s="28"/>
    </row>
    <row r="2" ht="12.75" customHeight="1">
      <c r="B2" s="29" t="s">
        <v>11</v>
      </c>
      <c r="C2" s="30">
        <v>1000.0</v>
      </c>
    </row>
    <row r="3" ht="12.75" customHeight="1">
      <c r="B3" s="31" t="s">
        <v>12</v>
      </c>
      <c r="C3" s="32">
        <v>3.0</v>
      </c>
      <c r="G3" s="1"/>
    </row>
    <row r="4" ht="12.75" customHeight="1">
      <c r="B4" s="33" t="s">
        <v>13</v>
      </c>
      <c r="C4" s="34">
        <v>0.1</v>
      </c>
      <c r="D4" s="1"/>
    </row>
    <row r="5" ht="12.75" customHeight="1">
      <c r="B5" s="28"/>
      <c r="C5" s="28"/>
    </row>
    <row r="6" ht="12.75" customHeight="1">
      <c r="B6" s="35" t="s">
        <v>14</v>
      </c>
      <c r="C6" s="28"/>
    </row>
    <row r="7" ht="12.75" customHeight="1">
      <c r="B7" s="36" t="s">
        <v>12</v>
      </c>
      <c r="C7" s="37" t="s">
        <v>15</v>
      </c>
      <c r="D7" s="37" t="s">
        <v>16</v>
      </c>
      <c r="E7" s="37" t="s">
        <v>17</v>
      </c>
      <c r="F7" s="38" t="s">
        <v>18</v>
      </c>
      <c r="G7" s="39" t="s">
        <v>19</v>
      </c>
    </row>
    <row r="8" ht="12.75" customHeight="1">
      <c r="B8" s="40">
        <v>1.0</v>
      </c>
      <c r="C8" s="28">
        <f>$C$2</f>
        <v>1000</v>
      </c>
      <c r="D8" s="41">
        <f t="shared" ref="D8:D10" si="1">C8*$C$4</f>
        <v>100</v>
      </c>
      <c r="E8" s="41">
        <f t="shared" ref="E8:E10" si="2">$C$2/$C$3</f>
        <v>333.3333333</v>
      </c>
      <c r="F8" s="41">
        <f t="shared" ref="F8:F10" si="3">E8+D8</f>
        <v>433.3333333</v>
      </c>
      <c r="G8" s="42">
        <f t="shared" ref="G8:G10" si="4">C8-E8</f>
        <v>666.6666667</v>
      </c>
    </row>
    <row r="9" ht="12.75" customHeight="1">
      <c r="B9" s="40">
        <v>2.0</v>
      </c>
      <c r="C9" s="41">
        <f t="shared" ref="C9:C10" si="5">G8</f>
        <v>666.6666667</v>
      </c>
      <c r="D9" s="41">
        <f t="shared" si="1"/>
        <v>66.66666667</v>
      </c>
      <c r="E9" s="41">
        <f t="shared" si="2"/>
        <v>333.3333333</v>
      </c>
      <c r="F9" s="41">
        <f t="shared" si="3"/>
        <v>400</v>
      </c>
      <c r="G9" s="42">
        <f t="shared" si="4"/>
        <v>333.3333333</v>
      </c>
    </row>
    <row r="10" ht="12.75" customHeight="1">
      <c r="B10" s="43">
        <v>3.0</v>
      </c>
      <c r="C10" s="44">
        <f t="shared" si="5"/>
        <v>333.3333333</v>
      </c>
      <c r="D10" s="44">
        <f t="shared" si="1"/>
        <v>33.33333333</v>
      </c>
      <c r="E10" s="44">
        <f t="shared" si="2"/>
        <v>333.3333333</v>
      </c>
      <c r="F10" s="44">
        <f t="shared" si="3"/>
        <v>366.6666667</v>
      </c>
      <c r="G10" s="45">
        <f t="shared" si="4"/>
        <v>0</v>
      </c>
    </row>
    <row r="11" ht="12.75" customHeight="1">
      <c r="B11" s="28"/>
      <c r="C11" s="28"/>
    </row>
    <row r="12" ht="12.75" customHeight="1">
      <c r="B12" s="35" t="s">
        <v>20</v>
      </c>
      <c r="C12" s="28"/>
    </row>
    <row r="13" ht="12.75" customHeight="1">
      <c r="B13" s="36" t="s">
        <v>12</v>
      </c>
      <c r="C13" s="37" t="s">
        <v>15</v>
      </c>
      <c r="D13" s="37" t="s">
        <v>16</v>
      </c>
      <c r="E13" s="37" t="s">
        <v>17</v>
      </c>
      <c r="F13" s="38" t="s">
        <v>18</v>
      </c>
      <c r="G13" s="39" t="s">
        <v>19</v>
      </c>
      <c r="H13" s="28"/>
    </row>
    <row r="14" ht="12.75" customHeight="1">
      <c r="B14" s="40">
        <v>1.0</v>
      </c>
      <c r="C14" s="28">
        <f>$C$2</f>
        <v>1000</v>
      </c>
      <c r="D14" s="41">
        <f t="shared" ref="D14:D16" si="6">C14*$C$4</f>
        <v>100</v>
      </c>
      <c r="E14" s="41">
        <v>0.0</v>
      </c>
      <c r="F14" s="41">
        <f t="shared" ref="F14:F16" si="7">E14+D14</f>
        <v>100</v>
      </c>
      <c r="G14" s="42">
        <f t="shared" ref="G14:G16" si="8">C14-E14</f>
        <v>1000</v>
      </c>
    </row>
    <row r="15" ht="12.75" customHeight="1">
      <c r="B15" s="40">
        <v>2.0</v>
      </c>
      <c r="C15" s="41">
        <f t="shared" ref="C15:C16" si="9">G14</f>
        <v>1000</v>
      </c>
      <c r="D15" s="41">
        <f t="shared" si="6"/>
        <v>100</v>
      </c>
      <c r="E15" s="41">
        <v>0.0</v>
      </c>
      <c r="F15" s="41">
        <f t="shared" si="7"/>
        <v>100</v>
      </c>
      <c r="G15" s="42">
        <f t="shared" si="8"/>
        <v>1000</v>
      </c>
    </row>
    <row r="16" ht="12.75" customHeight="1">
      <c r="B16" s="43">
        <v>3.0</v>
      </c>
      <c r="C16" s="44">
        <f t="shared" si="9"/>
        <v>1000</v>
      </c>
      <c r="D16" s="44">
        <f t="shared" si="6"/>
        <v>100</v>
      </c>
      <c r="E16" s="44">
        <f>$C$2</f>
        <v>1000</v>
      </c>
      <c r="F16" s="44">
        <f t="shared" si="7"/>
        <v>1100</v>
      </c>
      <c r="G16" s="45">
        <f t="shared" si="8"/>
        <v>0</v>
      </c>
    </row>
    <row r="17" ht="12.75" customHeight="1">
      <c r="B17" s="28"/>
      <c r="C17" s="28"/>
    </row>
    <row r="18" ht="12.75" customHeight="1">
      <c r="B18" s="35" t="s">
        <v>21</v>
      </c>
      <c r="C18" s="28"/>
    </row>
    <row r="19" ht="12.75" customHeight="1">
      <c r="B19" s="36" t="s">
        <v>12</v>
      </c>
      <c r="C19" s="37" t="s">
        <v>15</v>
      </c>
      <c r="D19" s="37" t="s">
        <v>16</v>
      </c>
      <c r="E19" s="37" t="s">
        <v>17</v>
      </c>
      <c r="F19" s="38" t="s">
        <v>18</v>
      </c>
      <c r="G19" s="39" t="s">
        <v>19</v>
      </c>
    </row>
    <row r="20" ht="12.75" customHeight="1">
      <c r="B20" s="40">
        <v>1.0</v>
      </c>
      <c r="C20" s="28">
        <f>$C$2*(1+$C$4*$C$3)</f>
        <v>1300</v>
      </c>
      <c r="D20" s="41">
        <f t="shared" ref="D20:D22" si="10">$C$2*$C$4</f>
        <v>100</v>
      </c>
      <c r="E20" s="41">
        <f t="shared" ref="E20:E22" si="11">F20-D20</f>
        <v>333.3333333</v>
      </c>
      <c r="F20" s="41">
        <f t="shared" ref="F20:F22" si="12">$C$20/$C$3</f>
        <v>433.3333333</v>
      </c>
      <c r="G20" s="42">
        <f t="shared" ref="G20:G22" si="13">C20-E20</f>
        <v>966.6666667</v>
      </c>
    </row>
    <row r="21" ht="12.75" customHeight="1">
      <c r="B21" s="40">
        <v>2.0</v>
      </c>
      <c r="C21" s="41">
        <f t="shared" ref="C21:C22" si="14">G20</f>
        <v>966.6666667</v>
      </c>
      <c r="D21" s="41">
        <f t="shared" si="10"/>
        <v>100</v>
      </c>
      <c r="E21" s="41">
        <f t="shared" si="11"/>
        <v>333.3333333</v>
      </c>
      <c r="F21" s="41">
        <f t="shared" si="12"/>
        <v>433.3333333</v>
      </c>
      <c r="G21" s="42">
        <f t="shared" si="13"/>
        <v>633.3333333</v>
      </c>
    </row>
    <row r="22" ht="12.75" customHeight="1">
      <c r="B22" s="43">
        <v>3.0</v>
      </c>
      <c r="C22" s="44">
        <f t="shared" si="14"/>
        <v>633.3333333</v>
      </c>
      <c r="D22" s="44">
        <f t="shared" si="10"/>
        <v>100</v>
      </c>
      <c r="E22" s="44">
        <f t="shared" si="11"/>
        <v>333.3333333</v>
      </c>
      <c r="F22" s="44">
        <f t="shared" si="12"/>
        <v>433.3333333</v>
      </c>
      <c r="G22" s="45">
        <f t="shared" si="13"/>
        <v>300</v>
      </c>
    </row>
    <row r="23" ht="12.75" customHeight="1">
      <c r="B23" s="28"/>
      <c r="C23" s="28"/>
    </row>
    <row r="24" ht="12.75" customHeight="1">
      <c r="B24" s="28"/>
      <c r="C24" s="28"/>
    </row>
    <row r="25" ht="12.75" hidden="1" customHeight="1">
      <c r="B25" s="28"/>
      <c r="C25" s="28"/>
    </row>
    <row r="26" ht="12.75" hidden="1" customHeight="1">
      <c r="B26" s="28"/>
      <c r="C26" s="28"/>
    </row>
    <row r="27" ht="12.75" hidden="1" customHeight="1">
      <c r="B27" s="28"/>
      <c r="C27" s="28"/>
    </row>
    <row r="28" ht="12.75" hidden="1" customHeight="1">
      <c r="B28" s="28"/>
      <c r="C28" s="28"/>
    </row>
    <row r="29" ht="12.75" hidden="1" customHeight="1">
      <c r="B29" s="28"/>
      <c r="C29" s="28"/>
    </row>
    <row r="30" ht="12.75" hidden="1" customHeight="1">
      <c r="B30" s="28"/>
      <c r="C30" s="28"/>
    </row>
    <row r="31" ht="12.75" hidden="1" customHeight="1">
      <c r="B31" s="28"/>
      <c r="C31" s="28"/>
    </row>
    <row r="32" ht="12.75" hidden="1" customHeight="1">
      <c r="B32" s="28"/>
      <c r="C32" s="28"/>
    </row>
    <row r="33" ht="12.75" customHeight="1">
      <c r="B33" s="28"/>
      <c r="C33" s="28"/>
    </row>
    <row r="34" ht="12.75" customHeight="1">
      <c r="B34" s="28"/>
      <c r="C34" s="28"/>
    </row>
    <row r="35" ht="12.75" customHeight="1">
      <c r="B35" s="28"/>
      <c r="C35" s="28"/>
    </row>
    <row r="36" ht="12.75" customHeight="1">
      <c r="B36" s="28"/>
      <c r="C36" s="28"/>
    </row>
    <row r="37" ht="12.75" customHeight="1">
      <c r="B37" s="28"/>
      <c r="C37" s="28"/>
    </row>
    <row r="38" ht="12.75" customHeight="1">
      <c r="B38" s="28"/>
      <c r="C38" s="28"/>
    </row>
    <row r="39" ht="12.75" customHeight="1">
      <c r="B39" s="28"/>
      <c r="C39" s="28"/>
    </row>
    <row r="40" ht="12.75" customHeight="1">
      <c r="B40" s="28"/>
      <c r="C40" s="28"/>
    </row>
    <row r="41" ht="12.75" customHeight="1">
      <c r="B41" s="28"/>
      <c r="C41" s="28"/>
    </row>
    <row r="42" ht="12.75" customHeight="1">
      <c r="B42" s="28"/>
      <c r="C42" s="28"/>
    </row>
    <row r="43" ht="12.75" customHeight="1">
      <c r="B43" s="28"/>
      <c r="C43" s="28"/>
    </row>
    <row r="44" ht="12.75" customHeight="1">
      <c r="B44" s="28"/>
      <c r="C44" s="28"/>
    </row>
    <row r="45">
      <c r="B45" s="46"/>
    </row>
    <row r="46" ht="12.75" customHeight="1">
      <c r="B46" s="46"/>
    </row>
    <row r="47" ht="12.75" customHeight="1">
      <c r="B47" s="28"/>
      <c r="C47" s="28"/>
    </row>
    <row r="48" ht="12.75" customHeight="1">
      <c r="B48" s="28"/>
      <c r="C48" s="28"/>
    </row>
    <row r="49" ht="12.75" customHeight="1">
      <c r="B49" s="28"/>
      <c r="C49" s="28"/>
    </row>
    <row r="50" ht="12.75" customHeight="1">
      <c r="B50" s="28"/>
      <c r="C50" s="28"/>
    </row>
    <row r="51" ht="12.75" customHeight="1">
      <c r="B51" s="28"/>
      <c r="C51" s="28"/>
    </row>
    <row r="52" ht="12.75" customHeight="1">
      <c r="B52" s="28"/>
      <c r="C52" s="28"/>
    </row>
    <row r="53" ht="12.75" customHeight="1">
      <c r="B53" s="28"/>
      <c r="C53" s="28"/>
    </row>
    <row r="54" ht="12.75" customHeight="1">
      <c r="B54" s="28"/>
      <c r="C54" s="28"/>
    </row>
    <row r="55" ht="12.75" customHeight="1">
      <c r="B55" s="28"/>
      <c r="C55" s="28"/>
    </row>
    <row r="56" ht="12.75" customHeight="1">
      <c r="B56" s="28"/>
      <c r="C56" s="28"/>
    </row>
    <row r="57" ht="12.75" customHeight="1">
      <c r="B57" s="28"/>
      <c r="C57" s="28"/>
    </row>
    <row r="58" ht="12.75" customHeight="1">
      <c r="B58" s="28"/>
      <c r="C58" s="28"/>
    </row>
    <row r="59" ht="12.75" customHeight="1">
      <c r="B59" s="28"/>
      <c r="C59" s="28"/>
    </row>
    <row r="60" ht="12.75" customHeight="1">
      <c r="B60" s="28"/>
      <c r="C60" s="28"/>
    </row>
    <row r="61" ht="12.75" customHeight="1">
      <c r="B61" s="28"/>
      <c r="C61" s="28"/>
    </row>
    <row r="62" ht="12.75" customHeight="1">
      <c r="B62" s="28"/>
      <c r="C62" s="28"/>
    </row>
    <row r="63" ht="12.75" customHeight="1">
      <c r="B63" s="28"/>
      <c r="C63" s="28"/>
    </row>
    <row r="64" ht="12.75" customHeight="1">
      <c r="B64" s="28"/>
      <c r="C64" s="28"/>
    </row>
    <row r="65" ht="12.75" customHeight="1">
      <c r="B65" s="28"/>
      <c r="C65" s="28"/>
    </row>
    <row r="66" ht="12.75" customHeight="1">
      <c r="B66" s="28"/>
      <c r="C66" s="28"/>
    </row>
    <row r="67" ht="12.75" customHeight="1">
      <c r="B67" s="28"/>
      <c r="C67" s="28"/>
    </row>
    <row r="68" ht="12.75" customHeight="1">
      <c r="B68" s="28"/>
      <c r="C68" s="28"/>
    </row>
    <row r="69" ht="12.75" customHeight="1">
      <c r="B69" s="28"/>
      <c r="C69" s="28"/>
    </row>
    <row r="70" ht="12.75" customHeight="1">
      <c r="B70" s="28"/>
      <c r="C70" s="28"/>
    </row>
    <row r="71" ht="12.75" customHeight="1">
      <c r="B71" s="28"/>
      <c r="C71" s="28"/>
    </row>
    <row r="72" ht="12.75" customHeight="1">
      <c r="B72" s="28"/>
      <c r="C72" s="28"/>
    </row>
    <row r="73" ht="12.75" customHeight="1">
      <c r="B73" s="28"/>
      <c r="C73" s="28"/>
    </row>
    <row r="74" ht="12.75" customHeight="1">
      <c r="B74" s="28"/>
      <c r="C74" s="28"/>
    </row>
    <row r="75" ht="12.75" customHeight="1">
      <c r="B75" s="28"/>
      <c r="C75" s="28"/>
    </row>
    <row r="76" ht="12.75" customHeight="1">
      <c r="B76" s="28"/>
      <c r="C76" s="28"/>
    </row>
    <row r="77" ht="12.75" customHeight="1">
      <c r="B77" s="28"/>
      <c r="C77" s="28"/>
    </row>
    <row r="78" ht="12.75" customHeight="1">
      <c r="B78" s="28"/>
      <c r="C78" s="28"/>
    </row>
    <row r="79" ht="12.75" customHeight="1">
      <c r="B79" s="28"/>
      <c r="C79" s="28"/>
    </row>
    <row r="80" ht="12.75" customHeight="1">
      <c r="B80" s="28"/>
      <c r="C80" s="28"/>
    </row>
    <row r="81" ht="12.75" customHeight="1">
      <c r="B81" s="28"/>
      <c r="C81" s="28"/>
    </row>
    <row r="82" ht="12.75" customHeight="1">
      <c r="B82" s="28"/>
      <c r="C82" s="28"/>
    </row>
    <row r="83" ht="12.75" customHeight="1">
      <c r="B83" s="28"/>
      <c r="C83" s="28"/>
    </row>
    <row r="84" ht="12.75" customHeight="1">
      <c r="B84" s="28"/>
      <c r="C84" s="28"/>
    </row>
    <row r="85" ht="12.75" customHeight="1">
      <c r="B85" s="28"/>
      <c r="C85" s="28"/>
    </row>
    <row r="86" ht="12.75" customHeight="1">
      <c r="B86" s="28"/>
      <c r="C86" s="28"/>
    </row>
    <row r="87" ht="12.75" customHeight="1">
      <c r="B87" s="28"/>
      <c r="C87" s="28"/>
    </row>
    <row r="88" ht="12.75" customHeight="1">
      <c r="B88" s="28"/>
      <c r="C88" s="28"/>
    </row>
    <row r="89" ht="12.75" customHeight="1">
      <c r="B89" s="28"/>
      <c r="C89" s="28"/>
    </row>
    <row r="90" ht="12.75" customHeight="1">
      <c r="B90" s="28"/>
      <c r="C90" s="28"/>
    </row>
    <row r="91" ht="12.75" customHeight="1">
      <c r="B91" s="28"/>
      <c r="C91" s="28"/>
    </row>
    <row r="92" ht="12.75" customHeight="1">
      <c r="B92" s="28"/>
      <c r="C92" s="28"/>
    </row>
    <row r="93" ht="12.75" customHeight="1">
      <c r="B93" s="28"/>
      <c r="C93" s="28"/>
    </row>
    <row r="94" ht="12.75" customHeight="1">
      <c r="B94" s="28"/>
      <c r="C94" s="28"/>
    </row>
    <row r="95" ht="12.75" customHeight="1">
      <c r="B95" s="28"/>
      <c r="C95" s="28"/>
    </row>
    <row r="96" ht="12.75" customHeight="1">
      <c r="B96" s="28"/>
      <c r="C96" s="28"/>
    </row>
    <row r="97" ht="12.75" customHeight="1">
      <c r="B97" s="28"/>
      <c r="C97" s="28"/>
    </row>
    <row r="98" ht="12.75" customHeight="1">
      <c r="B98" s="28"/>
      <c r="C98" s="28"/>
    </row>
    <row r="99" ht="12.75" customHeight="1">
      <c r="B99" s="28"/>
      <c r="C99" s="28"/>
    </row>
    <row r="100" ht="12.75" customHeight="1">
      <c r="B100" s="28"/>
      <c r="C100" s="28"/>
    </row>
    <row r="101" ht="12.75" customHeight="1">
      <c r="B101" s="28"/>
      <c r="C101" s="28"/>
    </row>
    <row r="102" ht="12.75" customHeight="1">
      <c r="B102" s="28"/>
      <c r="C102" s="28"/>
    </row>
    <row r="103" ht="12.75" customHeight="1">
      <c r="B103" s="28"/>
      <c r="C103" s="28"/>
    </row>
    <row r="104" ht="12.75" customHeight="1">
      <c r="B104" s="28"/>
      <c r="C104" s="28"/>
    </row>
    <row r="105" ht="12.75" customHeight="1">
      <c r="B105" s="28"/>
      <c r="C105" s="28"/>
    </row>
    <row r="106" ht="12.75" customHeight="1">
      <c r="B106" s="28"/>
      <c r="C106" s="28"/>
    </row>
    <row r="107" ht="12.75" customHeight="1">
      <c r="B107" s="28"/>
      <c r="C107" s="28"/>
    </row>
    <row r="108" ht="12.75" customHeight="1">
      <c r="B108" s="28"/>
      <c r="C108" s="28"/>
    </row>
    <row r="109" ht="12.75" customHeight="1">
      <c r="B109" s="28"/>
      <c r="C109" s="28"/>
    </row>
    <row r="110" ht="12.75" customHeight="1">
      <c r="B110" s="28"/>
      <c r="C110" s="28"/>
    </row>
    <row r="111" ht="12.75" customHeight="1">
      <c r="B111" s="28"/>
      <c r="C111" s="28"/>
    </row>
    <row r="112" ht="12.75" customHeight="1">
      <c r="B112" s="28"/>
      <c r="C112" s="28"/>
    </row>
    <row r="113" ht="12.75" customHeight="1">
      <c r="B113" s="28"/>
      <c r="C113" s="28"/>
    </row>
    <row r="114" ht="12.75" customHeight="1">
      <c r="B114" s="28"/>
      <c r="C114" s="28"/>
    </row>
    <row r="115" ht="12.75" customHeight="1">
      <c r="B115" s="28"/>
      <c r="C115" s="28"/>
    </row>
    <row r="116" ht="12.75" customHeight="1">
      <c r="B116" s="28"/>
      <c r="C116" s="28"/>
    </row>
    <row r="117" ht="12.75" customHeight="1">
      <c r="B117" s="28"/>
      <c r="C117" s="28"/>
    </row>
    <row r="118" ht="12.75" customHeight="1">
      <c r="B118" s="28"/>
      <c r="C118" s="28"/>
    </row>
    <row r="119" ht="12.75" customHeight="1">
      <c r="B119" s="28"/>
      <c r="C119" s="28"/>
    </row>
    <row r="120" ht="12.75" customHeight="1">
      <c r="B120" s="28"/>
      <c r="C120" s="28"/>
    </row>
    <row r="121" ht="12.75" customHeight="1">
      <c r="B121" s="28"/>
      <c r="C121" s="28"/>
    </row>
    <row r="122" ht="12.75" customHeight="1">
      <c r="B122" s="28"/>
      <c r="C122" s="28"/>
    </row>
    <row r="123" ht="12.75" customHeight="1">
      <c r="B123" s="28"/>
      <c r="C123" s="28"/>
    </row>
    <row r="124" ht="12.75" customHeight="1">
      <c r="B124" s="28"/>
      <c r="C124" s="28"/>
    </row>
    <row r="125" ht="12.75" customHeight="1">
      <c r="B125" s="28"/>
      <c r="C125" s="28"/>
    </row>
    <row r="126" ht="12.75" customHeight="1">
      <c r="B126" s="28"/>
      <c r="C126" s="28"/>
    </row>
    <row r="127" ht="12.75" customHeight="1">
      <c r="B127" s="28"/>
      <c r="C127" s="28"/>
    </row>
    <row r="128" ht="12.75" customHeight="1">
      <c r="B128" s="28"/>
      <c r="C128" s="28"/>
    </row>
    <row r="129" ht="12.75" customHeight="1">
      <c r="B129" s="28"/>
      <c r="C129" s="28"/>
    </row>
    <row r="130" ht="12.75" customHeight="1">
      <c r="B130" s="28"/>
      <c r="C130" s="28"/>
    </row>
    <row r="131" ht="12.75" customHeight="1">
      <c r="B131" s="28"/>
      <c r="C131" s="28"/>
    </row>
    <row r="132" ht="12.75" customHeight="1">
      <c r="B132" s="28"/>
      <c r="C132" s="28"/>
    </row>
    <row r="133" ht="12.75" customHeight="1">
      <c r="B133" s="28"/>
      <c r="C133" s="28"/>
    </row>
    <row r="134" ht="12.75" customHeight="1">
      <c r="B134" s="28"/>
      <c r="C134" s="28"/>
    </row>
    <row r="135" ht="12.75" customHeight="1">
      <c r="B135" s="28"/>
      <c r="C135" s="28"/>
    </row>
    <row r="136" ht="12.75" customHeight="1">
      <c r="B136" s="28"/>
      <c r="C136" s="28"/>
    </row>
    <row r="137" ht="12.75" customHeight="1">
      <c r="B137" s="28"/>
      <c r="C137" s="28"/>
    </row>
    <row r="138" ht="12.75" customHeight="1">
      <c r="B138" s="28"/>
      <c r="C138" s="28"/>
    </row>
    <row r="139" ht="12.75" customHeight="1">
      <c r="B139" s="28"/>
      <c r="C139" s="28"/>
    </row>
    <row r="140" ht="12.75" customHeight="1">
      <c r="B140" s="28"/>
      <c r="C140" s="28"/>
    </row>
    <row r="141" ht="12.75" customHeight="1">
      <c r="B141" s="28"/>
      <c r="C141" s="28"/>
    </row>
    <row r="142" ht="12.75" customHeight="1">
      <c r="B142" s="28"/>
      <c r="C142" s="28"/>
    </row>
    <row r="143" ht="12.75" customHeight="1">
      <c r="B143" s="28"/>
      <c r="C143" s="28"/>
    </row>
    <row r="144" ht="12.75" customHeight="1">
      <c r="B144" s="28"/>
      <c r="C144" s="28"/>
    </row>
    <row r="145" ht="12.75" customHeight="1">
      <c r="B145" s="28"/>
      <c r="C145" s="28"/>
    </row>
    <row r="146" ht="12.75" customHeight="1">
      <c r="B146" s="28"/>
      <c r="C146" s="28"/>
    </row>
    <row r="147" ht="12.75" customHeight="1">
      <c r="B147" s="28"/>
      <c r="C147" s="28"/>
    </row>
    <row r="148" ht="12.75" customHeight="1">
      <c r="B148" s="28"/>
      <c r="C148" s="28"/>
    </row>
    <row r="149" ht="12.75" customHeight="1">
      <c r="B149" s="28"/>
      <c r="C149" s="28"/>
    </row>
    <row r="150" ht="12.75" customHeight="1">
      <c r="B150" s="28"/>
      <c r="C150" s="28"/>
    </row>
    <row r="151" ht="12.75" customHeight="1">
      <c r="B151" s="28"/>
      <c r="C151" s="28"/>
    </row>
    <row r="152" ht="12.75" customHeight="1">
      <c r="B152" s="28"/>
      <c r="C152" s="28"/>
    </row>
    <row r="153" ht="12.75" customHeight="1">
      <c r="B153" s="28"/>
      <c r="C153" s="28"/>
    </row>
    <row r="154" ht="12.75" customHeight="1">
      <c r="B154" s="28"/>
      <c r="C154" s="28"/>
    </row>
    <row r="155" ht="12.75" customHeight="1">
      <c r="B155" s="28"/>
      <c r="C155" s="28"/>
    </row>
    <row r="156" ht="12.75" customHeight="1">
      <c r="B156" s="28"/>
      <c r="C156" s="28"/>
    </row>
    <row r="157" ht="12.75" customHeight="1">
      <c r="B157" s="28"/>
      <c r="C157" s="28"/>
    </row>
    <row r="158" ht="12.75" customHeight="1">
      <c r="B158" s="28"/>
      <c r="C158" s="28"/>
    </row>
    <row r="159" ht="12.75" customHeight="1">
      <c r="B159" s="28"/>
      <c r="C159" s="28"/>
    </row>
    <row r="160" ht="12.75" customHeight="1">
      <c r="B160" s="28"/>
      <c r="C160" s="28"/>
    </row>
    <row r="161" ht="12.75" customHeight="1">
      <c r="B161" s="28"/>
      <c r="C161" s="28"/>
    </row>
    <row r="162" ht="12.75" customHeight="1">
      <c r="B162" s="28"/>
      <c r="C162" s="28"/>
    </row>
    <row r="163" ht="12.75" customHeight="1">
      <c r="B163" s="28"/>
      <c r="C163" s="28"/>
    </row>
    <row r="164" ht="12.75" customHeight="1">
      <c r="B164" s="28"/>
      <c r="C164" s="28"/>
    </row>
    <row r="165" ht="12.75" customHeight="1">
      <c r="B165" s="28"/>
      <c r="C165" s="28"/>
    </row>
    <row r="166" ht="12.75" customHeight="1">
      <c r="B166" s="28"/>
      <c r="C166" s="28"/>
    </row>
    <row r="167" ht="12.75" customHeight="1">
      <c r="B167" s="28"/>
      <c r="C167" s="28"/>
    </row>
    <row r="168" ht="12.75" customHeight="1">
      <c r="B168" s="28"/>
      <c r="C168" s="28"/>
    </row>
    <row r="169" ht="12.75" customHeight="1">
      <c r="B169" s="28"/>
      <c r="C169" s="28"/>
    </row>
    <row r="170" ht="12.75" customHeight="1">
      <c r="B170" s="28"/>
      <c r="C170" s="28"/>
    </row>
    <row r="171" ht="12.75" customHeight="1">
      <c r="B171" s="28"/>
      <c r="C171" s="28"/>
    </row>
    <row r="172" ht="12.75" customHeight="1">
      <c r="B172" s="28"/>
      <c r="C172" s="28"/>
    </row>
    <row r="173" ht="12.75" customHeight="1">
      <c r="B173" s="28"/>
      <c r="C173" s="28"/>
    </row>
    <row r="174" ht="12.75" customHeight="1">
      <c r="B174" s="28"/>
      <c r="C174" s="28"/>
    </row>
    <row r="175" ht="12.75" customHeight="1">
      <c r="B175" s="28"/>
      <c r="C175" s="28"/>
    </row>
    <row r="176" ht="12.75" customHeight="1">
      <c r="B176" s="28"/>
      <c r="C176" s="28"/>
    </row>
    <row r="177" ht="12.75" customHeight="1">
      <c r="B177" s="28"/>
      <c r="C177" s="28"/>
    </row>
    <row r="178" ht="12.75" customHeight="1">
      <c r="B178" s="28"/>
      <c r="C178" s="28"/>
    </row>
    <row r="179" ht="12.75" customHeight="1">
      <c r="B179" s="28"/>
      <c r="C179" s="28"/>
    </row>
    <row r="180" ht="12.75" customHeight="1">
      <c r="B180" s="28"/>
      <c r="C180" s="28"/>
    </row>
    <row r="181" ht="12.75" customHeight="1">
      <c r="B181" s="28"/>
      <c r="C181" s="28"/>
    </row>
    <row r="182" ht="12.75" customHeight="1">
      <c r="B182" s="28"/>
      <c r="C182" s="28"/>
    </row>
    <row r="183" ht="12.75" customHeight="1">
      <c r="B183" s="28"/>
      <c r="C183" s="28"/>
    </row>
    <row r="184" ht="12.75" customHeight="1">
      <c r="B184" s="28"/>
      <c r="C184" s="28"/>
    </row>
    <row r="185" ht="12.75" customHeight="1">
      <c r="B185" s="28"/>
      <c r="C185" s="28"/>
    </row>
    <row r="186" ht="12.75" customHeight="1">
      <c r="B186" s="28"/>
      <c r="C186" s="28"/>
    </row>
    <row r="187" ht="12.75" customHeight="1">
      <c r="B187" s="28"/>
      <c r="C187" s="28"/>
    </row>
    <row r="188" ht="12.75" customHeight="1">
      <c r="B188" s="28"/>
      <c r="C188" s="28"/>
    </row>
    <row r="189" ht="12.75" customHeight="1">
      <c r="B189" s="28"/>
      <c r="C189" s="28"/>
    </row>
    <row r="190" ht="12.75" customHeight="1">
      <c r="B190" s="28"/>
      <c r="C190" s="28"/>
    </row>
    <row r="191" ht="12.75" customHeight="1">
      <c r="B191" s="28"/>
      <c r="C191" s="28"/>
    </row>
    <row r="192" ht="12.75" customHeight="1">
      <c r="B192" s="28"/>
      <c r="C192" s="28"/>
    </row>
    <row r="193" ht="12.75" customHeight="1">
      <c r="B193" s="28"/>
      <c r="C193" s="28"/>
    </row>
    <row r="194" ht="12.75" customHeight="1">
      <c r="B194" s="28"/>
      <c r="C194" s="28"/>
    </row>
    <row r="195" ht="12.75" customHeight="1">
      <c r="B195" s="28"/>
      <c r="C195" s="28"/>
    </row>
    <row r="196" ht="12.75" customHeight="1">
      <c r="B196" s="28"/>
      <c r="C196" s="28"/>
    </row>
    <row r="197" ht="12.75" customHeight="1">
      <c r="B197" s="28"/>
      <c r="C197" s="28"/>
    </row>
    <row r="198" ht="12.75" customHeight="1">
      <c r="B198" s="28"/>
      <c r="C198" s="28"/>
    </row>
    <row r="199" ht="12.75" customHeight="1">
      <c r="B199" s="28"/>
      <c r="C199" s="28"/>
    </row>
    <row r="200" ht="12.75" customHeight="1">
      <c r="B200" s="28"/>
      <c r="C200" s="28"/>
    </row>
    <row r="201" ht="12.75" customHeight="1">
      <c r="B201" s="28"/>
      <c r="C201" s="28"/>
    </row>
    <row r="202" ht="12.75" customHeight="1">
      <c r="B202" s="28"/>
      <c r="C202" s="28"/>
    </row>
    <row r="203" ht="12.75" customHeight="1">
      <c r="B203" s="28"/>
      <c r="C203" s="28"/>
    </row>
    <row r="204" ht="12.75" customHeight="1">
      <c r="B204" s="28"/>
      <c r="C204" s="28"/>
    </row>
    <row r="205" ht="12.75" customHeight="1">
      <c r="B205" s="28"/>
      <c r="C205" s="28"/>
    </row>
    <row r="206" ht="12.75" customHeight="1">
      <c r="B206" s="28"/>
      <c r="C206" s="28"/>
    </row>
    <row r="207" ht="12.75" customHeight="1">
      <c r="B207" s="28"/>
      <c r="C207" s="28"/>
    </row>
    <row r="208" ht="12.75" customHeight="1">
      <c r="B208" s="28"/>
      <c r="C208" s="28"/>
    </row>
    <row r="209" ht="12.75" customHeight="1">
      <c r="B209" s="28"/>
      <c r="C209" s="28"/>
    </row>
    <row r="210" ht="12.75" customHeight="1">
      <c r="B210" s="28"/>
      <c r="C210" s="28"/>
    </row>
    <row r="211" ht="12.75" customHeight="1">
      <c r="B211" s="28"/>
      <c r="C211" s="28"/>
    </row>
    <row r="212" ht="12.75" customHeight="1">
      <c r="B212" s="28"/>
      <c r="C212" s="28"/>
    </row>
    <row r="213" ht="12.75" customHeight="1">
      <c r="B213" s="28"/>
      <c r="C213" s="28"/>
    </row>
    <row r="214" ht="12.75" customHeight="1">
      <c r="B214" s="28"/>
      <c r="C214" s="28"/>
    </row>
    <row r="215" ht="12.75" customHeight="1">
      <c r="B215" s="28"/>
      <c r="C215" s="28"/>
    </row>
    <row r="216" ht="12.75" customHeight="1">
      <c r="B216" s="28"/>
      <c r="C216" s="28"/>
    </row>
    <row r="217" ht="12.75" customHeight="1">
      <c r="B217" s="28"/>
      <c r="C217" s="28"/>
    </row>
    <row r="218" ht="12.75" customHeight="1">
      <c r="B218" s="28"/>
      <c r="C218" s="28"/>
    </row>
    <row r="219" ht="12.75" customHeight="1">
      <c r="B219" s="28"/>
      <c r="C219" s="28"/>
    </row>
    <row r="220" ht="12.75" customHeight="1">
      <c r="B220" s="28"/>
      <c r="C220" s="28"/>
    </row>
    <row r="221" ht="12.75" customHeight="1">
      <c r="B221" s="28"/>
      <c r="C221" s="28"/>
    </row>
    <row r="222" ht="12.75" customHeight="1">
      <c r="B222" s="28"/>
      <c r="C222" s="28"/>
    </row>
    <row r="223" ht="12.75" customHeight="1">
      <c r="B223" s="28"/>
      <c r="C223" s="28"/>
    </row>
    <row r="224" ht="12.75" customHeight="1">
      <c r="B224" s="28"/>
      <c r="C224" s="28"/>
    </row>
    <row r="225" ht="12.75" customHeight="1">
      <c r="B225" s="28"/>
      <c r="C225" s="28"/>
    </row>
    <row r="226" ht="12.75" customHeight="1">
      <c r="B226" s="28"/>
      <c r="C226" s="28"/>
    </row>
    <row r="227" ht="12.75" customHeight="1">
      <c r="B227" s="28"/>
      <c r="C227" s="28"/>
    </row>
    <row r="228" ht="12.75" customHeight="1">
      <c r="B228" s="28"/>
      <c r="C228" s="28"/>
    </row>
    <row r="229" ht="12.75" customHeight="1">
      <c r="B229" s="28"/>
      <c r="C229" s="28"/>
    </row>
    <row r="230" ht="12.75" customHeight="1">
      <c r="B230" s="28"/>
      <c r="C230" s="28"/>
    </row>
    <row r="231" ht="12.75" customHeight="1">
      <c r="B231" s="28"/>
      <c r="C231" s="28"/>
    </row>
    <row r="232" ht="12.75" customHeight="1">
      <c r="B232" s="28"/>
      <c r="C232" s="28"/>
    </row>
    <row r="233" ht="12.75" customHeight="1">
      <c r="B233" s="28"/>
      <c r="C233" s="28"/>
    </row>
    <row r="234" ht="12.75" customHeight="1">
      <c r="B234" s="28"/>
      <c r="C234" s="28"/>
    </row>
    <row r="235" ht="12.75" customHeight="1">
      <c r="B235" s="28"/>
      <c r="C235" s="28"/>
    </row>
    <row r="236" ht="12.75" customHeight="1">
      <c r="B236" s="28"/>
      <c r="C236" s="28"/>
    </row>
    <row r="237" ht="12.75" customHeight="1">
      <c r="B237" s="28"/>
      <c r="C237" s="28"/>
    </row>
    <row r="238" ht="12.75" customHeight="1">
      <c r="B238" s="28"/>
      <c r="C238" s="28"/>
    </row>
    <row r="239" ht="12.75" customHeight="1">
      <c r="B239" s="28"/>
      <c r="C239" s="28"/>
    </row>
    <row r="240" ht="12.75" customHeight="1">
      <c r="B240" s="28"/>
      <c r="C240" s="28"/>
    </row>
    <row r="241" ht="12.75" customHeight="1">
      <c r="B241" s="28"/>
      <c r="C241" s="28"/>
    </row>
    <row r="242" ht="12.75" customHeight="1">
      <c r="B242" s="28"/>
      <c r="C242" s="28"/>
    </row>
    <row r="243" ht="12.75" customHeight="1">
      <c r="B243" s="28"/>
      <c r="C243" s="28"/>
    </row>
    <row r="244" ht="12.75" customHeight="1">
      <c r="B244" s="28"/>
      <c r="C244" s="28"/>
    </row>
    <row r="245" ht="12.75" customHeight="1">
      <c r="B245" s="28"/>
      <c r="C245" s="28"/>
    </row>
    <row r="246" ht="12.75" customHeight="1">
      <c r="B246" s="28"/>
      <c r="C246" s="28"/>
    </row>
    <row r="247" ht="12.75" customHeight="1">
      <c r="B247" s="28"/>
      <c r="C247" s="28"/>
    </row>
    <row r="248" ht="12.75" customHeight="1">
      <c r="B248" s="28"/>
      <c r="C248" s="28"/>
    </row>
    <row r="249" ht="12.75" customHeight="1">
      <c r="B249" s="28"/>
      <c r="C249" s="28"/>
    </row>
    <row r="250" ht="12.75" customHeight="1">
      <c r="B250" s="28"/>
      <c r="C250" s="28"/>
    </row>
    <row r="251" ht="12.75" customHeight="1">
      <c r="B251" s="28"/>
      <c r="C251" s="28"/>
    </row>
    <row r="252" ht="12.75" customHeight="1">
      <c r="B252" s="28"/>
      <c r="C252" s="28"/>
    </row>
    <row r="253" ht="12.75" customHeight="1">
      <c r="B253" s="28"/>
      <c r="C253" s="28"/>
    </row>
    <row r="254" ht="12.75" customHeight="1">
      <c r="B254" s="28"/>
      <c r="C254" s="28"/>
    </row>
    <row r="255" ht="12.75" customHeight="1">
      <c r="B255" s="28"/>
      <c r="C255" s="28"/>
    </row>
    <row r="256" ht="12.75" customHeight="1">
      <c r="B256" s="28"/>
      <c r="C256" s="28"/>
    </row>
    <row r="257" ht="12.75" customHeight="1">
      <c r="B257" s="28"/>
      <c r="C257" s="28"/>
    </row>
    <row r="258" ht="12.75" customHeight="1">
      <c r="B258" s="28"/>
      <c r="C258" s="28"/>
    </row>
    <row r="259" ht="12.75" customHeight="1">
      <c r="B259" s="28"/>
      <c r="C259" s="28"/>
    </row>
    <row r="260" ht="12.75" customHeight="1">
      <c r="B260" s="28"/>
      <c r="C260" s="28"/>
    </row>
    <row r="261" ht="12.75" customHeight="1">
      <c r="B261" s="28"/>
      <c r="C261" s="28"/>
    </row>
    <row r="262" ht="12.75" customHeight="1">
      <c r="B262" s="28"/>
      <c r="C262" s="28"/>
    </row>
    <row r="263" ht="12.75" customHeight="1">
      <c r="B263" s="28"/>
      <c r="C263" s="28"/>
    </row>
    <row r="264" ht="12.75" customHeight="1">
      <c r="B264" s="28"/>
      <c r="C264" s="28"/>
    </row>
    <row r="265" ht="12.75" customHeight="1">
      <c r="B265" s="28"/>
      <c r="C265" s="28"/>
    </row>
    <row r="266" ht="12.75" customHeight="1">
      <c r="B266" s="28"/>
      <c r="C266" s="28"/>
    </row>
    <row r="267" ht="12.75" customHeight="1">
      <c r="B267" s="28"/>
      <c r="C267" s="28"/>
    </row>
    <row r="268" ht="12.75" customHeight="1">
      <c r="B268" s="28"/>
      <c r="C268" s="28"/>
    </row>
    <row r="269" ht="12.75" customHeight="1">
      <c r="B269" s="28"/>
      <c r="C269" s="28"/>
    </row>
    <row r="270" ht="12.75" customHeight="1">
      <c r="B270" s="28"/>
      <c r="C270" s="28"/>
    </row>
    <row r="271" ht="12.75" customHeight="1">
      <c r="B271" s="28"/>
      <c r="C271" s="28"/>
    </row>
    <row r="272" ht="12.75" customHeight="1">
      <c r="B272" s="28"/>
      <c r="C272" s="28"/>
    </row>
    <row r="273" ht="12.75" customHeight="1">
      <c r="B273" s="28"/>
      <c r="C273" s="28"/>
    </row>
    <row r="274" ht="12.75" customHeight="1">
      <c r="B274" s="28"/>
      <c r="C274" s="28"/>
    </row>
    <row r="275" ht="12.75" customHeight="1">
      <c r="B275" s="28"/>
      <c r="C275" s="28"/>
    </row>
    <row r="276" ht="12.75" customHeight="1">
      <c r="B276" s="28"/>
      <c r="C276" s="28"/>
    </row>
    <row r="277" ht="12.75" customHeight="1">
      <c r="B277" s="28"/>
      <c r="C277" s="28"/>
    </row>
    <row r="278" ht="12.75" customHeight="1">
      <c r="B278" s="28"/>
      <c r="C278" s="28"/>
    </row>
    <row r="279" ht="12.75" customHeight="1">
      <c r="B279" s="28"/>
      <c r="C279" s="28"/>
    </row>
    <row r="280" ht="12.75" customHeight="1">
      <c r="B280" s="28"/>
      <c r="C280" s="28"/>
    </row>
    <row r="281" ht="12.75" customHeight="1">
      <c r="B281" s="28"/>
      <c r="C281" s="28"/>
    </row>
    <row r="282" ht="12.75" customHeight="1">
      <c r="B282" s="28"/>
      <c r="C282" s="28"/>
    </row>
    <row r="283" ht="12.75" customHeight="1">
      <c r="B283" s="28"/>
      <c r="C283" s="28"/>
    </row>
    <row r="284" ht="12.75" customHeight="1">
      <c r="B284" s="28"/>
      <c r="C284" s="28"/>
    </row>
    <row r="285" ht="12.75" customHeight="1">
      <c r="B285" s="28"/>
      <c r="C285" s="28"/>
    </row>
    <row r="286" ht="12.75" customHeight="1">
      <c r="B286" s="28"/>
      <c r="C286" s="28"/>
    </row>
    <row r="287" ht="12.75" customHeight="1">
      <c r="B287" s="28"/>
      <c r="C287" s="28"/>
    </row>
    <row r="288" ht="12.75" customHeight="1">
      <c r="B288" s="28"/>
      <c r="C288" s="28"/>
    </row>
    <row r="289" ht="12.75" customHeight="1">
      <c r="B289" s="28"/>
      <c r="C289" s="28"/>
    </row>
    <row r="290" ht="12.75" customHeight="1">
      <c r="B290" s="28"/>
      <c r="C290" s="28"/>
    </row>
    <row r="291" ht="12.75" customHeight="1">
      <c r="B291" s="28"/>
      <c r="C291" s="28"/>
    </row>
    <row r="292" ht="12.75" customHeight="1">
      <c r="B292" s="28"/>
      <c r="C292" s="28"/>
    </row>
    <row r="293" ht="12.75" customHeight="1">
      <c r="B293" s="28"/>
      <c r="C293" s="28"/>
    </row>
    <row r="294" ht="12.75" customHeight="1">
      <c r="B294" s="28"/>
      <c r="C294" s="28"/>
    </row>
    <row r="295" ht="12.75" customHeight="1">
      <c r="B295" s="28"/>
      <c r="C295" s="28"/>
    </row>
    <row r="296" ht="12.75" customHeight="1">
      <c r="B296" s="28"/>
      <c r="C296" s="28"/>
    </row>
    <row r="297" ht="12.75" customHeight="1">
      <c r="B297" s="28"/>
      <c r="C297" s="28"/>
    </row>
    <row r="298" ht="12.75" customHeight="1">
      <c r="B298" s="28"/>
      <c r="C298" s="28"/>
    </row>
    <row r="299" ht="12.75" customHeight="1">
      <c r="B299" s="28"/>
      <c r="C299" s="28"/>
    </row>
    <row r="300" ht="12.75" customHeight="1">
      <c r="B300" s="28"/>
      <c r="C300" s="28"/>
    </row>
    <row r="301" ht="12.75" customHeight="1">
      <c r="B301" s="28"/>
      <c r="C301" s="28"/>
    </row>
    <row r="302" ht="12.75" customHeight="1">
      <c r="B302" s="28"/>
      <c r="C302" s="28"/>
    </row>
    <row r="303" ht="12.75" customHeight="1">
      <c r="B303" s="28"/>
      <c r="C303" s="28"/>
    </row>
    <row r="304" ht="12.75" customHeight="1">
      <c r="B304" s="28"/>
      <c r="C304" s="28"/>
    </row>
    <row r="305" ht="12.75" customHeight="1">
      <c r="B305" s="28"/>
      <c r="C305" s="28"/>
    </row>
    <row r="306" ht="12.75" customHeight="1">
      <c r="B306" s="28"/>
      <c r="C306" s="28"/>
    </row>
    <row r="307" ht="12.75" customHeight="1">
      <c r="B307" s="28"/>
      <c r="C307" s="28"/>
    </row>
    <row r="308" ht="12.75" customHeight="1">
      <c r="B308" s="28"/>
      <c r="C308" s="28"/>
    </row>
    <row r="309" ht="12.75" customHeight="1">
      <c r="B309" s="28"/>
      <c r="C309" s="28"/>
    </row>
    <row r="310" ht="12.75" customHeight="1">
      <c r="B310" s="28"/>
      <c r="C310" s="28"/>
    </row>
    <row r="311" ht="12.75" customHeight="1">
      <c r="B311" s="28"/>
      <c r="C311" s="28"/>
    </row>
    <row r="312" ht="12.75" customHeight="1">
      <c r="B312" s="28"/>
      <c r="C312" s="28"/>
    </row>
    <row r="313" ht="12.75" customHeight="1">
      <c r="B313" s="28"/>
      <c r="C313" s="28"/>
    </row>
    <row r="314" ht="12.75" customHeight="1">
      <c r="B314" s="28"/>
      <c r="C314" s="28"/>
    </row>
    <row r="315" ht="12.75" customHeight="1">
      <c r="B315" s="28"/>
      <c r="C315" s="28"/>
    </row>
    <row r="316" ht="12.75" customHeight="1">
      <c r="B316" s="28"/>
      <c r="C316" s="28"/>
    </row>
    <row r="317" ht="12.75" customHeight="1">
      <c r="B317" s="28"/>
      <c r="C317" s="28"/>
    </row>
    <row r="318" ht="12.75" customHeight="1">
      <c r="B318" s="28"/>
      <c r="C318" s="28"/>
    </row>
    <row r="319" ht="12.75" customHeight="1">
      <c r="B319" s="28"/>
      <c r="C319" s="28"/>
    </row>
    <row r="320" ht="12.75" customHeight="1">
      <c r="B320" s="28"/>
      <c r="C320" s="28"/>
    </row>
    <row r="321" ht="12.75" customHeight="1">
      <c r="B321" s="28"/>
      <c r="C321" s="28"/>
    </row>
    <row r="322" ht="12.75" customHeight="1">
      <c r="B322" s="28"/>
      <c r="C322" s="28"/>
    </row>
    <row r="323" ht="12.75" customHeight="1">
      <c r="B323" s="28"/>
      <c r="C323" s="28"/>
    </row>
    <row r="324" ht="12.75" customHeight="1">
      <c r="B324" s="28"/>
      <c r="C324" s="28"/>
    </row>
    <row r="325" ht="12.75" customHeight="1">
      <c r="B325" s="28"/>
      <c r="C325" s="28"/>
    </row>
    <row r="326" ht="12.75" customHeight="1">
      <c r="B326" s="28"/>
      <c r="C326" s="28"/>
    </row>
    <row r="327" ht="12.75" customHeight="1">
      <c r="B327" s="28"/>
      <c r="C327" s="28"/>
    </row>
    <row r="328" ht="12.75" customHeight="1">
      <c r="B328" s="28"/>
      <c r="C328" s="28"/>
    </row>
    <row r="329" ht="12.75" customHeight="1">
      <c r="B329" s="28"/>
      <c r="C329" s="28"/>
    </row>
    <row r="330" ht="12.75" customHeight="1">
      <c r="B330" s="28"/>
      <c r="C330" s="28"/>
    </row>
    <row r="331" ht="12.75" customHeight="1">
      <c r="B331" s="28"/>
      <c r="C331" s="28"/>
    </row>
    <row r="332" ht="12.75" customHeight="1">
      <c r="B332" s="28"/>
      <c r="C332" s="28"/>
    </row>
    <row r="333" ht="12.75" customHeight="1">
      <c r="B333" s="28"/>
      <c r="C333" s="28"/>
    </row>
    <row r="334" ht="12.75" customHeight="1">
      <c r="B334" s="28"/>
      <c r="C334" s="28"/>
    </row>
    <row r="335" ht="12.75" customHeight="1">
      <c r="B335" s="28"/>
      <c r="C335" s="28"/>
    </row>
    <row r="336" ht="12.75" customHeight="1">
      <c r="B336" s="28"/>
      <c r="C336" s="28"/>
    </row>
    <row r="337" ht="12.75" customHeight="1">
      <c r="B337" s="28"/>
      <c r="C337" s="28"/>
    </row>
    <row r="338" ht="12.75" customHeight="1">
      <c r="B338" s="28"/>
      <c r="C338" s="28"/>
    </row>
    <row r="339" ht="12.75" customHeight="1">
      <c r="B339" s="28"/>
      <c r="C339" s="28"/>
    </row>
    <row r="340" ht="12.75" customHeight="1">
      <c r="B340" s="28"/>
      <c r="C340" s="28"/>
    </row>
    <row r="341" ht="12.75" customHeight="1">
      <c r="B341" s="28"/>
      <c r="C341" s="28"/>
    </row>
    <row r="342" ht="12.75" customHeight="1">
      <c r="B342" s="28"/>
      <c r="C342" s="28"/>
    </row>
    <row r="343" ht="12.75" customHeight="1">
      <c r="B343" s="28"/>
      <c r="C343" s="28"/>
    </row>
    <row r="344" ht="12.75" customHeight="1">
      <c r="B344" s="28"/>
      <c r="C344" s="28"/>
    </row>
    <row r="345" ht="12.75" customHeight="1">
      <c r="B345" s="28"/>
      <c r="C345" s="28"/>
    </row>
    <row r="346" ht="12.75" customHeight="1">
      <c r="B346" s="28"/>
      <c r="C346" s="28"/>
    </row>
    <row r="347" ht="12.75" customHeight="1">
      <c r="B347" s="28"/>
      <c r="C347" s="28"/>
    </row>
    <row r="348" ht="12.75" customHeight="1">
      <c r="B348" s="28"/>
      <c r="C348" s="28"/>
    </row>
    <row r="349" ht="12.75" customHeight="1">
      <c r="B349" s="28"/>
      <c r="C349" s="28"/>
    </row>
    <row r="350" ht="12.75" customHeight="1">
      <c r="B350" s="28"/>
      <c r="C350" s="28"/>
    </row>
    <row r="351" ht="12.75" customHeight="1">
      <c r="B351" s="28"/>
      <c r="C351" s="28"/>
    </row>
    <row r="352" ht="12.75" customHeight="1">
      <c r="B352" s="28"/>
      <c r="C352" s="28"/>
    </row>
    <row r="353" ht="12.75" customHeight="1">
      <c r="B353" s="28"/>
      <c r="C353" s="28"/>
    </row>
    <row r="354" ht="12.75" customHeight="1">
      <c r="B354" s="28"/>
      <c r="C354" s="28"/>
    </row>
    <row r="355" ht="12.75" customHeight="1">
      <c r="B355" s="28"/>
      <c r="C355" s="28"/>
    </row>
    <row r="356" ht="12.75" customHeight="1">
      <c r="B356" s="28"/>
      <c r="C356" s="28"/>
    </row>
    <row r="357" ht="12.75" customHeight="1">
      <c r="B357" s="28"/>
      <c r="C357" s="28"/>
    </row>
    <row r="358" ht="12.75" customHeight="1">
      <c r="B358" s="28"/>
      <c r="C358" s="28"/>
    </row>
    <row r="359" ht="12.75" customHeight="1">
      <c r="B359" s="28"/>
      <c r="C359" s="28"/>
    </row>
    <row r="360" ht="12.75" customHeight="1">
      <c r="B360" s="28"/>
      <c r="C360" s="28"/>
    </row>
    <row r="361" ht="12.75" customHeight="1">
      <c r="B361" s="28"/>
      <c r="C361" s="28"/>
    </row>
    <row r="362" ht="12.75" customHeight="1">
      <c r="B362" s="28"/>
      <c r="C362" s="28"/>
    </row>
    <row r="363" ht="12.75" customHeight="1">
      <c r="B363" s="28"/>
      <c r="C363" s="28"/>
    </row>
    <row r="364" ht="12.75" customHeight="1">
      <c r="B364" s="28"/>
      <c r="C364" s="28"/>
    </row>
    <row r="365" ht="12.75" customHeight="1">
      <c r="B365" s="28"/>
      <c r="C365" s="28"/>
    </row>
    <row r="366" ht="12.75" customHeight="1">
      <c r="B366" s="28"/>
      <c r="C366" s="28"/>
    </row>
    <row r="367" ht="12.75" customHeight="1">
      <c r="B367" s="28"/>
      <c r="C367" s="28"/>
    </row>
    <row r="368" ht="12.75" customHeight="1">
      <c r="B368" s="28"/>
      <c r="C368" s="28"/>
    </row>
    <row r="369" ht="12.75" customHeight="1">
      <c r="B369" s="28"/>
      <c r="C369" s="28"/>
    </row>
    <row r="370" ht="12.75" customHeight="1">
      <c r="B370" s="28"/>
      <c r="C370" s="28"/>
    </row>
    <row r="371" ht="12.75" customHeight="1">
      <c r="B371" s="28"/>
      <c r="C371" s="28"/>
    </row>
    <row r="372" ht="12.75" customHeight="1">
      <c r="B372" s="28"/>
      <c r="C372" s="28"/>
    </row>
    <row r="373" ht="12.75" customHeight="1">
      <c r="B373" s="28"/>
      <c r="C373" s="28"/>
    </row>
    <row r="374" ht="12.75" customHeight="1">
      <c r="B374" s="28"/>
      <c r="C374" s="28"/>
    </row>
    <row r="375" ht="12.75" customHeight="1">
      <c r="B375" s="28"/>
      <c r="C375" s="28"/>
    </row>
    <row r="376" ht="12.75" customHeight="1">
      <c r="B376" s="28"/>
      <c r="C376" s="28"/>
    </row>
    <row r="377" ht="12.75" customHeight="1">
      <c r="B377" s="28"/>
      <c r="C377" s="28"/>
    </row>
    <row r="378" ht="12.75" customHeight="1">
      <c r="B378" s="28"/>
      <c r="C378" s="28"/>
    </row>
    <row r="379" ht="12.75" customHeight="1">
      <c r="B379" s="28"/>
      <c r="C379" s="28"/>
    </row>
    <row r="380" ht="12.75" customHeight="1">
      <c r="B380" s="28"/>
      <c r="C380" s="28"/>
    </row>
    <row r="381" ht="12.75" customHeight="1">
      <c r="B381" s="28"/>
      <c r="C381" s="28"/>
    </row>
    <row r="382" ht="12.75" customHeight="1">
      <c r="B382" s="28"/>
      <c r="C382" s="28"/>
    </row>
    <row r="383" ht="12.75" customHeight="1">
      <c r="B383" s="28"/>
      <c r="C383" s="28"/>
    </row>
    <row r="384" ht="12.75" customHeight="1">
      <c r="B384" s="28"/>
      <c r="C384" s="28"/>
    </row>
    <row r="385" ht="12.75" customHeight="1">
      <c r="B385" s="28"/>
      <c r="C385" s="28"/>
    </row>
    <row r="386" ht="12.75" customHeight="1">
      <c r="B386" s="28"/>
      <c r="C386" s="28"/>
    </row>
    <row r="387" ht="12.75" customHeight="1">
      <c r="B387" s="28"/>
      <c r="C387" s="28"/>
    </row>
    <row r="388" ht="12.75" customHeight="1">
      <c r="B388" s="28"/>
      <c r="C388" s="28"/>
    </row>
    <row r="389" ht="12.75" customHeight="1">
      <c r="B389" s="28"/>
      <c r="C389" s="28"/>
    </row>
    <row r="390" ht="12.75" customHeight="1">
      <c r="B390" s="28"/>
      <c r="C390" s="28"/>
    </row>
    <row r="391" ht="12.75" customHeight="1">
      <c r="B391" s="28"/>
      <c r="C391" s="28"/>
    </row>
    <row r="392" ht="12.75" customHeight="1">
      <c r="B392" s="28"/>
      <c r="C392" s="28"/>
    </row>
    <row r="393" ht="12.75" customHeight="1">
      <c r="B393" s="28"/>
      <c r="C393" s="28"/>
    </row>
    <row r="394" ht="12.75" customHeight="1">
      <c r="B394" s="28"/>
      <c r="C394" s="28"/>
    </row>
    <row r="395" ht="12.75" customHeight="1">
      <c r="B395" s="28"/>
      <c r="C395" s="28"/>
    </row>
    <row r="396" ht="12.75" customHeight="1">
      <c r="B396" s="28"/>
      <c r="C396" s="28"/>
    </row>
    <row r="397" ht="12.75" customHeight="1">
      <c r="B397" s="28"/>
      <c r="C397" s="28"/>
    </row>
    <row r="398" ht="12.75" customHeight="1">
      <c r="B398" s="28"/>
      <c r="C398" s="28"/>
    </row>
    <row r="399" ht="12.75" customHeight="1">
      <c r="B399" s="28"/>
      <c r="C399" s="28"/>
    </row>
    <row r="400" ht="12.75" customHeight="1">
      <c r="B400" s="28"/>
      <c r="C400" s="28"/>
    </row>
    <row r="401" ht="12.75" customHeight="1">
      <c r="B401" s="28"/>
      <c r="C401" s="28"/>
    </row>
    <row r="402" ht="12.75" customHeight="1">
      <c r="B402" s="28"/>
      <c r="C402" s="28"/>
    </row>
    <row r="403" ht="12.75" customHeight="1">
      <c r="B403" s="28"/>
      <c r="C403" s="28"/>
    </row>
    <row r="404" ht="12.75" customHeight="1">
      <c r="B404" s="28"/>
      <c r="C404" s="28"/>
    </row>
    <row r="405" ht="12.75" customHeight="1">
      <c r="B405" s="28"/>
      <c r="C405" s="28"/>
    </row>
    <row r="406" ht="12.75" customHeight="1">
      <c r="B406" s="28"/>
      <c r="C406" s="28"/>
    </row>
    <row r="407" ht="12.75" customHeight="1">
      <c r="B407" s="28"/>
      <c r="C407" s="28"/>
    </row>
    <row r="408" ht="12.75" customHeight="1">
      <c r="B408" s="28"/>
      <c r="C408" s="28"/>
    </row>
    <row r="409" ht="12.75" customHeight="1">
      <c r="B409" s="28"/>
      <c r="C409" s="28"/>
    </row>
    <row r="410" ht="12.75" customHeight="1">
      <c r="B410" s="28"/>
      <c r="C410" s="28"/>
    </row>
    <row r="411" ht="12.75" customHeight="1">
      <c r="B411" s="28"/>
      <c r="C411" s="28"/>
    </row>
    <row r="412" ht="12.75" customHeight="1">
      <c r="B412" s="28"/>
      <c r="C412" s="28"/>
    </row>
    <row r="413" ht="12.75" customHeight="1">
      <c r="B413" s="28"/>
      <c r="C413" s="28"/>
    </row>
    <row r="414" ht="12.75" customHeight="1">
      <c r="B414" s="28"/>
      <c r="C414" s="28"/>
    </row>
    <row r="415" ht="12.75" customHeight="1">
      <c r="B415" s="28"/>
      <c r="C415" s="28"/>
    </row>
    <row r="416" ht="12.75" customHeight="1">
      <c r="B416" s="28"/>
      <c r="C416" s="28"/>
    </row>
    <row r="417" ht="12.75" customHeight="1">
      <c r="B417" s="28"/>
      <c r="C417" s="28"/>
    </row>
    <row r="418" ht="12.75" customHeight="1">
      <c r="B418" s="28"/>
      <c r="C418" s="28"/>
    </row>
    <row r="419" ht="12.75" customHeight="1">
      <c r="B419" s="28"/>
      <c r="C419" s="28"/>
    </row>
    <row r="420" ht="12.75" customHeight="1">
      <c r="B420" s="28"/>
      <c r="C420" s="28"/>
    </row>
    <row r="421" ht="12.75" customHeight="1">
      <c r="B421" s="28"/>
      <c r="C421" s="28"/>
    </row>
    <row r="422" ht="12.75" customHeight="1">
      <c r="B422" s="28"/>
      <c r="C422" s="28"/>
    </row>
    <row r="423" ht="12.75" customHeight="1">
      <c r="B423" s="28"/>
      <c r="C423" s="28"/>
    </row>
    <row r="424" ht="12.75" customHeight="1">
      <c r="B424" s="28"/>
      <c r="C424" s="28"/>
    </row>
    <row r="425" ht="12.75" customHeight="1">
      <c r="B425" s="28"/>
      <c r="C425" s="28"/>
    </row>
    <row r="426" ht="12.75" customHeight="1">
      <c r="B426" s="28"/>
      <c r="C426" s="28"/>
    </row>
    <row r="427" ht="12.75" customHeight="1">
      <c r="B427" s="28"/>
      <c r="C427" s="28"/>
    </row>
    <row r="428" ht="12.75" customHeight="1">
      <c r="B428" s="28"/>
      <c r="C428" s="28"/>
    </row>
    <row r="429" ht="12.75" customHeight="1">
      <c r="B429" s="28"/>
      <c r="C429" s="28"/>
    </row>
    <row r="430" ht="12.75" customHeight="1">
      <c r="B430" s="28"/>
      <c r="C430" s="28"/>
    </row>
    <row r="431" ht="12.75" customHeight="1">
      <c r="B431" s="28"/>
      <c r="C431" s="28"/>
    </row>
    <row r="432" ht="12.75" customHeight="1">
      <c r="B432" s="28"/>
      <c r="C432" s="28"/>
    </row>
    <row r="433" ht="12.75" customHeight="1">
      <c r="B433" s="28"/>
      <c r="C433" s="28"/>
    </row>
    <row r="434" ht="12.75" customHeight="1">
      <c r="B434" s="28"/>
      <c r="C434" s="28"/>
    </row>
    <row r="435" ht="12.75" customHeight="1">
      <c r="B435" s="28"/>
      <c r="C435" s="28"/>
    </row>
    <row r="436" ht="12.75" customHeight="1">
      <c r="B436" s="28"/>
      <c r="C436" s="28"/>
    </row>
    <row r="437" ht="12.75" customHeight="1">
      <c r="B437" s="28"/>
      <c r="C437" s="28"/>
    </row>
    <row r="438" ht="12.75" customHeight="1">
      <c r="B438" s="28"/>
      <c r="C438" s="28"/>
    </row>
    <row r="439" ht="12.75" customHeight="1">
      <c r="B439" s="28"/>
      <c r="C439" s="28"/>
    </row>
    <row r="440" ht="12.75" customHeight="1">
      <c r="B440" s="28"/>
      <c r="C440" s="28"/>
    </row>
    <row r="441" ht="12.75" customHeight="1">
      <c r="B441" s="28"/>
      <c r="C441" s="28"/>
    </row>
    <row r="442" ht="12.75" customHeight="1">
      <c r="B442" s="28"/>
      <c r="C442" s="28"/>
    </row>
    <row r="443" ht="12.75" customHeight="1">
      <c r="B443" s="28"/>
      <c r="C443" s="28"/>
    </row>
    <row r="444" ht="12.75" customHeight="1">
      <c r="B444" s="28"/>
      <c r="C444" s="28"/>
    </row>
    <row r="445" ht="12.75" customHeight="1">
      <c r="B445" s="28"/>
      <c r="C445" s="28"/>
    </row>
    <row r="446" ht="12.75" customHeight="1">
      <c r="B446" s="28"/>
      <c r="C446" s="28"/>
    </row>
    <row r="447" ht="12.75" customHeight="1">
      <c r="B447" s="28"/>
      <c r="C447" s="28"/>
    </row>
    <row r="448" ht="12.75" customHeight="1">
      <c r="B448" s="28"/>
      <c r="C448" s="28"/>
    </row>
    <row r="449" ht="12.75" customHeight="1">
      <c r="B449" s="28"/>
      <c r="C449" s="28"/>
    </row>
    <row r="450" ht="12.75" customHeight="1">
      <c r="B450" s="28"/>
      <c r="C450" s="28"/>
    </row>
    <row r="451" ht="12.75" customHeight="1">
      <c r="B451" s="28"/>
      <c r="C451" s="28"/>
    </row>
    <row r="452" ht="12.75" customHeight="1">
      <c r="B452" s="28"/>
      <c r="C452" s="28"/>
    </row>
    <row r="453" ht="12.75" customHeight="1">
      <c r="B453" s="28"/>
      <c r="C453" s="28"/>
    </row>
    <row r="454" ht="12.75" customHeight="1">
      <c r="B454" s="28"/>
      <c r="C454" s="28"/>
    </row>
    <row r="455" ht="12.75" customHeight="1">
      <c r="B455" s="28"/>
      <c r="C455" s="28"/>
    </row>
    <row r="456" ht="12.75" customHeight="1">
      <c r="B456" s="28"/>
      <c r="C456" s="28"/>
    </row>
    <row r="457" ht="12.75" customHeight="1">
      <c r="B457" s="28"/>
      <c r="C457" s="28"/>
    </row>
    <row r="458" ht="12.75" customHeight="1">
      <c r="B458" s="28"/>
      <c r="C458" s="28"/>
    </row>
    <row r="459" ht="12.75" customHeight="1">
      <c r="B459" s="28"/>
      <c r="C459" s="28"/>
    </row>
    <row r="460" ht="12.75" customHeight="1">
      <c r="B460" s="28"/>
      <c r="C460" s="28"/>
    </row>
    <row r="461" ht="12.75" customHeight="1">
      <c r="B461" s="28"/>
      <c r="C461" s="28"/>
    </row>
    <row r="462" ht="12.75" customHeight="1">
      <c r="B462" s="28"/>
      <c r="C462" s="28"/>
    </row>
    <row r="463" ht="12.75" customHeight="1">
      <c r="B463" s="28"/>
      <c r="C463" s="28"/>
    </row>
    <row r="464" ht="12.75" customHeight="1">
      <c r="B464" s="28"/>
      <c r="C464" s="28"/>
    </row>
    <row r="465" ht="12.75" customHeight="1">
      <c r="B465" s="28"/>
      <c r="C465" s="28"/>
    </row>
    <row r="466" ht="12.75" customHeight="1">
      <c r="B466" s="28"/>
      <c r="C466" s="28"/>
    </row>
    <row r="467" ht="12.75" customHeight="1">
      <c r="B467" s="28"/>
      <c r="C467" s="28"/>
    </row>
    <row r="468" ht="12.75" customHeight="1">
      <c r="B468" s="28"/>
      <c r="C468" s="28"/>
    </row>
    <row r="469" ht="12.75" customHeight="1">
      <c r="B469" s="28"/>
      <c r="C469" s="28"/>
    </row>
    <row r="470" ht="12.75" customHeight="1">
      <c r="B470" s="28"/>
      <c r="C470" s="28"/>
    </row>
    <row r="471" ht="12.75" customHeight="1">
      <c r="B471" s="28"/>
      <c r="C471" s="28"/>
    </row>
    <row r="472" ht="12.75" customHeight="1">
      <c r="B472" s="28"/>
      <c r="C472" s="28"/>
    </row>
    <row r="473" ht="12.75" customHeight="1">
      <c r="B473" s="28"/>
      <c r="C473" s="28"/>
    </row>
    <row r="474" ht="12.75" customHeight="1">
      <c r="B474" s="28"/>
      <c r="C474" s="28"/>
    </row>
    <row r="475" ht="12.75" customHeight="1">
      <c r="B475" s="28"/>
      <c r="C475" s="28"/>
    </row>
    <row r="476" ht="12.75" customHeight="1">
      <c r="B476" s="28"/>
      <c r="C476" s="28"/>
    </row>
    <row r="477" ht="12.75" customHeight="1">
      <c r="B477" s="28"/>
      <c r="C477" s="28"/>
    </row>
    <row r="478" ht="12.75" customHeight="1">
      <c r="B478" s="28"/>
      <c r="C478" s="28"/>
    </row>
    <row r="479" ht="12.75" customHeight="1">
      <c r="B479" s="28"/>
      <c r="C479" s="28"/>
    </row>
    <row r="480" ht="12.75" customHeight="1">
      <c r="B480" s="28"/>
      <c r="C480" s="28"/>
    </row>
    <row r="481" ht="12.75" customHeight="1">
      <c r="B481" s="28"/>
      <c r="C481" s="28"/>
    </row>
    <row r="482" ht="12.75" customHeight="1">
      <c r="B482" s="28"/>
      <c r="C482" s="28"/>
    </row>
    <row r="483" ht="12.75" customHeight="1">
      <c r="B483" s="28"/>
      <c r="C483" s="28"/>
    </row>
    <row r="484" ht="12.75" customHeight="1">
      <c r="B484" s="28"/>
      <c r="C484" s="28"/>
    </row>
    <row r="485" ht="12.75" customHeight="1">
      <c r="B485" s="28"/>
      <c r="C485" s="28"/>
    </row>
    <row r="486" ht="12.75" customHeight="1">
      <c r="B486" s="28"/>
      <c r="C486" s="28"/>
    </row>
    <row r="487" ht="12.75" customHeight="1">
      <c r="B487" s="28"/>
      <c r="C487" s="28"/>
    </row>
    <row r="488" ht="12.75" customHeight="1">
      <c r="B488" s="28"/>
      <c r="C488" s="28"/>
    </row>
    <row r="489" ht="12.75" customHeight="1">
      <c r="B489" s="28"/>
      <c r="C489" s="28"/>
    </row>
    <row r="490" ht="12.75" customHeight="1">
      <c r="B490" s="28"/>
      <c r="C490" s="28"/>
    </row>
    <row r="491" ht="12.75" customHeight="1">
      <c r="B491" s="28"/>
      <c r="C491" s="28"/>
    </row>
    <row r="492" ht="12.75" customHeight="1">
      <c r="B492" s="28"/>
      <c r="C492" s="28"/>
    </row>
    <row r="493" ht="12.75" customHeight="1">
      <c r="B493" s="28"/>
      <c r="C493" s="28"/>
    </row>
    <row r="494" ht="12.75" customHeight="1">
      <c r="B494" s="28"/>
      <c r="C494" s="28"/>
    </row>
    <row r="495" ht="12.75" customHeight="1">
      <c r="B495" s="28"/>
      <c r="C495" s="28"/>
    </row>
    <row r="496" ht="12.75" customHeight="1">
      <c r="B496" s="28"/>
      <c r="C496" s="28"/>
    </row>
    <row r="497" ht="12.75" customHeight="1">
      <c r="B497" s="28"/>
      <c r="C497" s="28"/>
    </row>
    <row r="498" ht="12.75" customHeight="1">
      <c r="B498" s="28"/>
      <c r="C498" s="28"/>
    </row>
    <row r="499" ht="12.75" customHeight="1">
      <c r="B499" s="28"/>
      <c r="C499" s="28"/>
    </row>
    <row r="500" ht="12.75" customHeight="1">
      <c r="B500" s="28"/>
      <c r="C500" s="28"/>
    </row>
    <row r="501" ht="12.75" customHeight="1">
      <c r="B501" s="28"/>
      <c r="C501" s="28"/>
    </row>
    <row r="502" ht="12.75" customHeight="1">
      <c r="B502" s="28"/>
      <c r="C502" s="28"/>
    </row>
    <row r="503" ht="12.75" customHeight="1">
      <c r="B503" s="28"/>
      <c r="C503" s="28"/>
    </row>
    <row r="504" ht="12.75" customHeight="1">
      <c r="B504" s="28"/>
      <c r="C504" s="28"/>
    </row>
    <row r="505" ht="12.75" customHeight="1">
      <c r="B505" s="28"/>
      <c r="C505" s="28"/>
    </row>
    <row r="506" ht="12.75" customHeight="1">
      <c r="B506" s="28"/>
      <c r="C506" s="28"/>
    </row>
    <row r="507" ht="12.75" customHeight="1">
      <c r="B507" s="28"/>
      <c r="C507" s="28"/>
    </row>
    <row r="508" ht="12.75" customHeight="1">
      <c r="B508" s="28"/>
      <c r="C508" s="28"/>
    </row>
    <row r="509" ht="12.75" customHeight="1">
      <c r="B509" s="28"/>
      <c r="C509" s="28"/>
    </row>
    <row r="510" ht="12.75" customHeight="1">
      <c r="B510" s="28"/>
      <c r="C510" s="28"/>
    </row>
    <row r="511" ht="12.75" customHeight="1">
      <c r="B511" s="28"/>
      <c r="C511" s="28"/>
    </row>
    <row r="512" ht="12.75" customHeight="1">
      <c r="B512" s="28"/>
      <c r="C512" s="28"/>
    </row>
    <row r="513" ht="12.75" customHeight="1">
      <c r="B513" s="28"/>
      <c r="C513" s="28"/>
    </row>
    <row r="514" ht="12.75" customHeight="1">
      <c r="B514" s="28"/>
      <c r="C514" s="28"/>
    </row>
    <row r="515" ht="12.75" customHeight="1">
      <c r="B515" s="28"/>
      <c r="C515" s="28"/>
    </row>
    <row r="516" ht="12.75" customHeight="1">
      <c r="B516" s="28"/>
      <c r="C516" s="28"/>
    </row>
    <row r="517" ht="12.75" customHeight="1">
      <c r="B517" s="28"/>
      <c r="C517" s="28"/>
    </row>
    <row r="518" ht="12.75" customHeight="1">
      <c r="B518" s="28"/>
      <c r="C518" s="28"/>
    </row>
    <row r="519" ht="12.75" customHeight="1">
      <c r="B519" s="28"/>
      <c r="C519" s="28"/>
    </row>
    <row r="520" ht="12.75" customHeight="1">
      <c r="B520" s="28"/>
      <c r="C520" s="28"/>
    </row>
    <row r="521" ht="12.75" customHeight="1">
      <c r="B521" s="28"/>
      <c r="C521" s="28"/>
    </row>
    <row r="522" ht="12.75" customHeight="1">
      <c r="B522" s="28"/>
      <c r="C522" s="28"/>
    </row>
    <row r="523" ht="12.75" customHeight="1">
      <c r="B523" s="28"/>
      <c r="C523" s="28"/>
    </row>
    <row r="524" ht="12.75" customHeight="1">
      <c r="B524" s="28"/>
      <c r="C524" s="28"/>
    </row>
    <row r="525" ht="12.75" customHeight="1">
      <c r="B525" s="28"/>
      <c r="C525" s="28"/>
    </row>
    <row r="526" ht="12.75" customHeight="1">
      <c r="B526" s="28"/>
      <c r="C526" s="28"/>
    </row>
    <row r="527" ht="12.75" customHeight="1">
      <c r="B527" s="28"/>
      <c r="C527" s="28"/>
    </row>
    <row r="528" ht="12.75" customHeight="1">
      <c r="B528" s="28"/>
      <c r="C528" s="28"/>
    </row>
    <row r="529" ht="12.75" customHeight="1">
      <c r="B529" s="28"/>
      <c r="C529" s="28"/>
    </row>
    <row r="530" ht="12.75" customHeight="1">
      <c r="B530" s="28"/>
      <c r="C530" s="28"/>
    </row>
    <row r="531" ht="12.75" customHeight="1">
      <c r="B531" s="28"/>
      <c r="C531" s="28"/>
    </row>
    <row r="532" ht="12.75" customHeight="1">
      <c r="B532" s="28"/>
      <c r="C532" s="28"/>
    </row>
    <row r="533" ht="12.75" customHeight="1">
      <c r="B533" s="28"/>
      <c r="C533" s="28"/>
    </row>
    <row r="534" ht="12.75" customHeight="1">
      <c r="B534" s="28"/>
      <c r="C534" s="28"/>
    </row>
    <row r="535" ht="12.75" customHeight="1">
      <c r="B535" s="28"/>
      <c r="C535" s="28"/>
    </row>
    <row r="536" ht="12.75" customHeight="1">
      <c r="B536" s="28"/>
      <c r="C536" s="28"/>
    </row>
    <row r="537" ht="12.75" customHeight="1">
      <c r="B537" s="28"/>
      <c r="C537" s="28"/>
    </row>
    <row r="538" ht="12.75" customHeight="1">
      <c r="B538" s="28"/>
      <c r="C538" s="28"/>
    </row>
    <row r="539" ht="12.75" customHeight="1">
      <c r="B539" s="28"/>
      <c r="C539" s="28"/>
    </row>
    <row r="540" ht="12.75" customHeight="1">
      <c r="B540" s="28"/>
      <c r="C540" s="28"/>
    </row>
    <row r="541" ht="12.75" customHeight="1">
      <c r="B541" s="28"/>
      <c r="C541" s="28"/>
    </row>
    <row r="542" ht="12.75" customHeight="1">
      <c r="B542" s="28"/>
      <c r="C542" s="28"/>
    </row>
    <row r="543" ht="12.75" customHeight="1">
      <c r="B543" s="28"/>
      <c r="C543" s="28"/>
    </row>
    <row r="544" ht="12.75" customHeight="1">
      <c r="B544" s="28"/>
      <c r="C544" s="28"/>
    </row>
    <row r="545" ht="12.75" customHeight="1">
      <c r="B545" s="28"/>
      <c r="C545" s="28"/>
    </row>
    <row r="546" ht="12.75" customHeight="1">
      <c r="B546" s="28"/>
      <c r="C546" s="28"/>
    </row>
    <row r="547" ht="12.75" customHeight="1">
      <c r="B547" s="28"/>
      <c r="C547" s="28"/>
    </row>
    <row r="548" ht="12.75" customHeight="1">
      <c r="B548" s="28"/>
      <c r="C548" s="28"/>
    </row>
    <row r="549" ht="12.75" customHeight="1">
      <c r="B549" s="28"/>
      <c r="C549" s="28"/>
    </row>
    <row r="550" ht="12.75" customHeight="1">
      <c r="B550" s="28"/>
      <c r="C550" s="28"/>
    </row>
    <row r="551" ht="12.75" customHeight="1">
      <c r="B551" s="28"/>
      <c r="C551" s="28"/>
    </row>
    <row r="552" ht="12.75" customHeight="1">
      <c r="B552" s="28"/>
      <c r="C552" s="28"/>
    </row>
    <row r="553" ht="12.75" customHeight="1">
      <c r="B553" s="28"/>
      <c r="C553" s="28"/>
    </row>
    <row r="554" ht="12.75" customHeight="1">
      <c r="B554" s="28"/>
      <c r="C554" s="28"/>
    </row>
    <row r="555" ht="12.75" customHeight="1">
      <c r="B555" s="28"/>
      <c r="C555" s="28"/>
    </row>
    <row r="556" ht="12.75" customHeight="1">
      <c r="B556" s="28"/>
      <c r="C556" s="28"/>
    </row>
    <row r="557" ht="12.75" customHeight="1">
      <c r="B557" s="28"/>
      <c r="C557" s="28"/>
    </row>
    <row r="558" ht="12.75" customHeight="1">
      <c r="B558" s="28"/>
      <c r="C558" s="28"/>
    </row>
    <row r="559" ht="12.75" customHeight="1">
      <c r="B559" s="28"/>
      <c r="C559" s="28"/>
    </row>
    <row r="560" ht="12.75" customHeight="1">
      <c r="B560" s="28"/>
      <c r="C560" s="28"/>
    </row>
    <row r="561" ht="12.75" customHeight="1">
      <c r="B561" s="28"/>
      <c r="C561" s="28"/>
    </row>
    <row r="562" ht="12.75" customHeight="1">
      <c r="B562" s="28"/>
      <c r="C562" s="28"/>
    </row>
    <row r="563" ht="12.75" customHeight="1">
      <c r="B563" s="28"/>
      <c r="C563" s="28"/>
    </row>
    <row r="564" ht="12.75" customHeight="1">
      <c r="B564" s="28"/>
      <c r="C564" s="28"/>
    </row>
    <row r="565" ht="12.75" customHeight="1">
      <c r="B565" s="28"/>
      <c r="C565" s="28"/>
    </row>
    <row r="566" ht="12.75" customHeight="1">
      <c r="B566" s="28"/>
      <c r="C566" s="28"/>
    </row>
    <row r="567" ht="12.75" customHeight="1">
      <c r="B567" s="28"/>
      <c r="C567" s="28"/>
    </row>
    <row r="568" ht="12.75" customHeight="1">
      <c r="B568" s="28"/>
      <c r="C568" s="28"/>
    </row>
    <row r="569" ht="12.75" customHeight="1">
      <c r="B569" s="28"/>
      <c r="C569" s="28"/>
    </row>
    <row r="570" ht="12.75" customHeight="1">
      <c r="B570" s="28"/>
      <c r="C570" s="28"/>
    </row>
    <row r="571" ht="12.75" customHeight="1">
      <c r="B571" s="28"/>
      <c r="C571" s="28"/>
    </row>
    <row r="572" ht="12.75" customHeight="1">
      <c r="B572" s="28"/>
      <c r="C572" s="28"/>
    </row>
    <row r="573" ht="12.75" customHeight="1">
      <c r="B573" s="28"/>
      <c r="C573" s="28"/>
    </row>
    <row r="574" ht="12.75" customHeight="1">
      <c r="B574" s="28"/>
      <c r="C574" s="28"/>
    </row>
    <row r="575" ht="12.75" customHeight="1">
      <c r="B575" s="28"/>
      <c r="C575" s="28"/>
    </row>
    <row r="576" ht="12.75" customHeight="1">
      <c r="B576" s="28"/>
      <c r="C576" s="28"/>
    </row>
    <row r="577" ht="12.75" customHeight="1">
      <c r="B577" s="28"/>
      <c r="C577" s="28"/>
    </row>
    <row r="578" ht="12.75" customHeight="1">
      <c r="B578" s="28"/>
      <c r="C578" s="28"/>
    </row>
    <row r="579" ht="12.75" customHeight="1">
      <c r="B579" s="28"/>
      <c r="C579" s="28"/>
    </row>
    <row r="580" ht="12.75" customHeight="1">
      <c r="B580" s="28"/>
      <c r="C580" s="28"/>
    </row>
    <row r="581" ht="12.75" customHeight="1">
      <c r="B581" s="28"/>
      <c r="C581" s="28"/>
    </row>
    <row r="582" ht="12.75" customHeight="1">
      <c r="B582" s="28"/>
      <c r="C582" s="28"/>
    </row>
    <row r="583" ht="12.75" customHeight="1">
      <c r="B583" s="28"/>
      <c r="C583" s="28"/>
    </row>
    <row r="584" ht="12.75" customHeight="1">
      <c r="B584" s="28"/>
      <c r="C584" s="28"/>
    </row>
    <row r="585" ht="12.75" customHeight="1">
      <c r="B585" s="28"/>
      <c r="C585" s="28"/>
    </row>
    <row r="586" ht="12.75" customHeight="1">
      <c r="B586" s="28"/>
      <c r="C586" s="28"/>
    </row>
    <row r="587" ht="12.75" customHeight="1">
      <c r="B587" s="28"/>
      <c r="C587" s="28"/>
    </row>
    <row r="588" ht="12.75" customHeight="1">
      <c r="B588" s="28"/>
      <c r="C588" s="28"/>
    </row>
    <row r="589" ht="12.75" customHeight="1">
      <c r="B589" s="28"/>
      <c r="C589" s="28"/>
    </row>
    <row r="590" ht="12.75" customHeight="1">
      <c r="B590" s="28"/>
      <c r="C590" s="28"/>
    </row>
    <row r="591" ht="12.75" customHeight="1">
      <c r="B591" s="28"/>
      <c r="C591" s="28"/>
    </row>
    <row r="592" ht="12.75" customHeight="1">
      <c r="B592" s="28"/>
      <c r="C592" s="28"/>
    </row>
    <row r="593" ht="12.75" customHeight="1">
      <c r="B593" s="28"/>
      <c r="C593" s="28"/>
    </row>
    <row r="594" ht="12.75" customHeight="1">
      <c r="B594" s="28"/>
      <c r="C594" s="28"/>
    </row>
    <row r="595" ht="12.75" customHeight="1">
      <c r="B595" s="28"/>
      <c r="C595" s="28"/>
    </row>
    <row r="596" ht="12.75" customHeight="1">
      <c r="B596" s="28"/>
      <c r="C596" s="28"/>
    </row>
    <row r="597" ht="12.75" customHeight="1">
      <c r="B597" s="28"/>
      <c r="C597" s="28"/>
    </row>
    <row r="598" ht="12.75" customHeight="1">
      <c r="B598" s="28"/>
      <c r="C598" s="28"/>
    </row>
    <row r="599" ht="12.75" customHeight="1">
      <c r="B599" s="28"/>
      <c r="C599" s="28"/>
    </row>
    <row r="600" ht="12.75" customHeight="1">
      <c r="B600" s="28"/>
      <c r="C600" s="28"/>
    </row>
    <row r="601" ht="12.75" customHeight="1">
      <c r="B601" s="28"/>
      <c r="C601" s="28"/>
    </row>
    <row r="602" ht="12.75" customHeight="1">
      <c r="B602" s="28"/>
      <c r="C602" s="28"/>
    </row>
    <row r="603" ht="12.75" customHeight="1">
      <c r="B603" s="28"/>
      <c r="C603" s="28"/>
    </row>
    <row r="604" ht="12.75" customHeight="1">
      <c r="B604" s="28"/>
      <c r="C604" s="28"/>
    </row>
    <row r="605" ht="12.75" customHeight="1">
      <c r="B605" s="28"/>
      <c r="C605" s="28"/>
    </row>
    <row r="606" ht="12.75" customHeight="1">
      <c r="B606" s="28"/>
      <c r="C606" s="28"/>
    </row>
    <row r="607" ht="12.75" customHeight="1">
      <c r="B607" s="28"/>
      <c r="C607" s="28"/>
    </row>
    <row r="608" ht="12.75" customHeight="1">
      <c r="B608" s="28"/>
      <c r="C608" s="28"/>
    </row>
    <row r="609" ht="12.75" customHeight="1">
      <c r="B609" s="28"/>
      <c r="C609" s="28"/>
    </row>
    <row r="610" ht="12.75" customHeight="1">
      <c r="B610" s="28"/>
      <c r="C610" s="28"/>
    </row>
    <row r="611" ht="12.75" customHeight="1">
      <c r="B611" s="28"/>
      <c r="C611" s="28"/>
    </row>
    <row r="612" ht="12.75" customHeight="1">
      <c r="B612" s="28"/>
      <c r="C612" s="28"/>
    </row>
    <row r="613" ht="12.75" customHeight="1">
      <c r="B613" s="28"/>
      <c r="C613" s="28"/>
    </row>
    <row r="614" ht="12.75" customHeight="1">
      <c r="B614" s="28"/>
      <c r="C614" s="28"/>
    </row>
    <row r="615" ht="12.75" customHeight="1">
      <c r="B615" s="28"/>
      <c r="C615" s="28"/>
    </row>
    <row r="616" ht="12.75" customHeight="1">
      <c r="B616" s="28"/>
      <c r="C616" s="28"/>
    </row>
    <row r="617" ht="12.75" customHeight="1">
      <c r="B617" s="28"/>
      <c r="C617" s="28"/>
    </row>
    <row r="618" ht="12.75" customHeight="1">
      <c r="B618" s="28"/>
      <c r="C618" s="28"/>
    </row>
    <row r="619" ht="12.75" customHeight="1">
      <c r="B619" s="28"/>
      <c r="C619" s="28"/>
    </row>
    <row r="620" ht="12.75" customHeight="1">
      <c r="B620" s="28"/>
      <c r="C620" s="28"/>
    </row>
    <row r="621" ht="12.75" customHeight="1">
      <c r="B621" s="28"/>
      <c r="C621" s="28"/>
    </row>
    <row r="622" ht="12.75" customHeight="1">
      <c r="B622" s="28"/>
      <c r="C622" s="28"/>
    </row>
    <row r="623" ht="12.75" customHeight="1">
      <c r="B623" s="28"/>
      <c r="C623" s="28"/>
    </row>
    <row r="624" ht="12.75" customHeight="1">
      <c r="B624" s="28"/>
      <c r="C624" s="28"/>
    </row>
    <row r="625" ht="12.75" customHeight="1">
      <c r="B625" s="28"/>
      <c r="C625" s="28"/>
    </row>
    <row r="626" ht="12.75" customHeight="1">
      <c r="B626" s="28"/>
      <c r="C626" s="28"/>
    </row>
    <row r="627" ht="12.75" customHeight="1">
      <c r="B627" s="28"/>
      <c r="C627" s="28"/>
    </row>
    <row r="628" ht="12.75" customHeight="1">
      <c r="B628" s="28"/>
      <c r="C628" s="28"/>
    </row>
    <row r="629" ht="12.75" customHeight="1">
      <c r="B629" s="28"/>
      <c r="C629" s="28"/>
    </row>
    <row r="630" ht="12.75" customHeight="1">
      <c r="B630" s="28"/>
      <c r="C630" s="28"/>
    </row>
    <row r="631" ht="12.75" customHeight="1">
      <c r="B631" s="28"/>
      <c r="C631" s="28"/>
    </row>
    <row r="632" ht="12.75" customHeight="1">
      <c r="B632" s="28"/>
      <c r="C632" s="28"/>
    </row>
    <row r="633" ht="12.75" customHeight="1">
      <c r="B633" s="28"/>
      <c r="C633" s="28"/>
    </row>
    <row r="634" ht="12.75" customHeight="1">
      <c r="B634" s="28"/>
      <c r="C634" s="28"/>
    </row>
    <row r="635" ht="12.75" customHeight="1">
      <c r="B635" s="28"/>
      <c r="C635" s="28"/>
    </row>
    <row r="636" ht="12.75" customHeight="1">
      <c r="B636" s="28"/>
      <c r="C636" s="28"/>
    </row>
    <row r="637" ht="12.75" customHeight="1">
      <c r="B637" s="28"/>
      <c r="C637" s="28"/>
    </row>
    <row r="638" ht="12.75" customHeight="1">
      <c r="B638" s="28"/>
      <c r="C638" s="28"/>
    </row>
    <row r="639" ht="12.75" customHeight="1">
      <c r="B639" s="28"/>
      <c r="C639" s="28"/>
    </row>
    <row r="640" ht="12.75" customHeight="1">
      <c r="B640" s="28"/>
      <c r="C640" s="28"/>
    </row>
    <row r="641" ht="12.75" customHeight="1">
      <c r="B641" s="28"/>
      <c r="C641" s="28"/>
    </row>
    <row r="642" ht="12.75" customHeight="1">
      <c r="B642" s="28"/>
      <c r="C642" s="28"/>
    </row>
    <row r="643" ht="12.75" customHeight="1">
      <c r="B643" s="28"/>
      <c r="C643" s="28"/>
    </row>
    <row r="644" ht="12.75" customHeight="1">
      <c r="B644" s="28"/>
      <c r="C644" s="28"/>
    </row>
    <row r="645" ht="12.75" customHeight="1">
      <c r="B645" s="28"/>
      <c r="C645" s="28"/>
    </row>
    <row r="646" ht="12.75" customHeight="1">
      <c r="B646" s="28"/>
      <c r="C646" s="28"/>
    </row>
    <row r="647" ht="12.75" customHeight="1">
      <c r="B647" s="28"/>
      <c r="C647" s="28"/>
    </row>
    <row r="648" ht="12.75" customHeight="1">
      <c r="B648" s="28"/>
      <c r="C648" s="28"/>
    </row>
    <row r="649" ht="12.75" customHeight="1">
      <c r="B649" s="28"/>
      <c r="C649" s="28"/>
    </row>
    <row r="650" ht="12.75" customHeight="1">
      <c r="B650" s="28"/>
      <c r="C650" s="28"/>
    </row>
    <row r="651" ht="12.75" customHeight="1">
      <c r="B651" s="28"/>
      <c r="C651" s="28"/>
    </row>
    <row r="652" ht="12.75" customHeight="1">
      <c r="B652" s="28"/>
      <c r="C652" s="28"/>
    </row>
    <row r="653" ht="12.75" customHeight="1">
      <c r="B653" s="28"/>
      <c r="C653" s="28"/>
    </row>
    <row r="654" ht="12.75" customHeight="1">
      <c r="B654" s="28"/>
      <c r="C654" s="28"/>
    </row>
    <row r="655" ht="12.75" customHeight="1">
      <c r="B655" s="28"/>
      <c r="C655" s="28"/>
    </row>
    <row r="656" ht="12.75" customHeight="1">
      <c r="B656" s="28"/>
      <c r="C656" s="28"/>
    </row>
    <row r="657" ht="12.75" customHeight="1">
      <c r="B657" s="28"/>
      <c r="C657" s="28"/>
    </row>
    <row r="658" ht="12.75" customHeight="1">
      <c r="B658" s="28"/>
      <c r="C658" s="28"/>
    </row>
    <row r="659" ht="12.75" customHeight="1">
      <c r="B659" s="28"/>
      <c r="C659" s="28"/>
    </row>
    <row r="660" ht="12.75" customHeight="1">
      <c r="B660" s="28"/>
      <c r="C660" s="28"/>
    </row>
    <row r="661" ht="12.75" customHeight="1">
      <c r="B661" s="28"/>
      <c r="C661" s="28"/>
    </row>
    <row r="662" ht="12.75" customHeight="1">
      <c r="B662" s="28"/>
      <c r="C662" s="28"/>
    </row>
    <row r="663" ht="12.75" customHeight="1">
      <c r="B663" s="28"/>
      <c r="C663" s="28"/>
    </row>
    <row r="664" ht="12.75" customHeight="1">
      <c r="B664" s="28"/>
      <c r="C664" s="28"/>
    </row>
    <row r="665" ht="12.75" customHeight="1">
      <c r="B665" s="28"/>
      <c r="C665" s="28"/>
    </row>
    <row r="666" ht="12.75" customHeight="1">
      <c r="B666" s="28"/>
      <c r="C666" s="28"/>
    </row>
    <row r="667" ht="12.75" customHeight="1">
      <c r="B667" s="28"/>
      <c r="C667" s="28"/>
    </row>
    <row r="668" ht="12.75" customHeight="1">
      <c r="B668" s="28"/>
      <c r="C668" s="28"/>
    </row>
    <row r="669" ht="12.75" customHeight="1">
      <c r="B669" s="28"/>
      <c r="C669" s="28"/>
    </row>
    <row r="670" ht="12.75" customHeight="1">
      <c r="B670" s="28"/>
      <c r="C670" s="28"/>
    </row>
    <row r="671" ht="12.75" customHeight="1">
      <c r="B671" s="28"/>
      <c r="C671" s="28"/>
    </row>
    <row r="672" ht="12.75" customHeight="1">
      <c r="B672" s="28"/>
      <c r="C672" s="28"/>
    </row>
    <row r="673" ht="12.75" customHeight="1">
      <c r="B673" s="28"/>
      <c r="C673" s="28"/>
    </row>
    <row r="674" ht="12.75" customHeight="1">
      <c r="B674" s="28"/>
      <c r="C674" s="28"/>
    </row>
    <row r="675" ht="12.75" customHeight="1">
      <c r="B675" s="28"/>
      <c r="C675" s="28"/>
    </row>
    <row r="676" ht="12.75" customHeight="1">
      <c r="B676" s="28"/>
      <c r="C676" s="28"/>
    </row>
    <row r="677" ht="12.75" customHeight="1">
      <c r="B677" s="28"/>
      <c r="C677" s="28"/>
    </row>
    <row r="678" ht="12.75" customHeight="1">
      <c r="B678" s="28"/>
      <c r="C678" s="28"/>
    </row>
    <row r="679" ht="12.75" customHeight="1">
      <c r="B679" s="28"/>
      <c r="C679" s="28"/>
    </row>
    <row r="680" ht="12.75" customHeight="1">
      <c r="B680" s="28"/>
      <c r="C680" s="28"/>
    </row>
    <row r="681" ht="12.75" customHeight="1">
      <c r="B681" s="28"/>
      <c r="C681" s="28"/>
    </row>
    <row r="682" ht="12.75" customHeight="1">
      <c r="B682" s="28"/>
      <c r="C682" s="28"/>
    </row>
    <row r="683" ht="12.75" customHeight="1">
      <c r="B683" s="28"/>
      <c r="C683" s="28"/>
    </row>
    <row r="684" ht="12.75" customHeight="1">
      <c r="B684" s="28"/>
      <c r="C684" s="28"/>
    </row>
    <row r="685" ht="12.75" customHeight="1">
      <c r="B685" s="28"/>
      <c r="C685" s="28"/>
    </row>
    <row r="686" ht="12.75" customHeight="1">
      <c r="B686" s="28"/>
      <c r="C686" s="28"/>
    </row>
    <row r="687" ht="12.75" customHeight="1">
      <c r="B687" s="28"/>
      <c r="C687" s="28"/>
    </row>
    <row r="688" ht="12.75" customHeight="1">
      <c r="B688" s="28"/>
      <c r="C688" s="28"/>
    </row>
    <row r="689" ht="12.75" customHeight="1">
      <c r="B689" s="28"/>
      <c r="C689" s="28"/>
    </row>
    <row r="690" ht="12.75" customHeight="1">
      <c r="B690" s="28"/>
      <c r="C690" s="28"/>
    </row>
    <row r="691" ht="12.75" customHeight="1">
      <c r="B691" s="28"/>
      <c r="C691" s="28"/>
    </row>
    <row r="692" ht="12.75" customHeight="1">
      <c r="B692" s="28"/>
      <c r="C692" s="28"/>
    </row>
    <row r="693" ht="12.75" customHeight="1">
      <c r="B693" s="28"/>
      <c r="C693" s="28"/>
    </row>
    <row r="694" ht="12.75" customHeight="1">
      <c r="B694" s="28"/>
      <c r="C694" s="28"/>
    </row>
    <row r="695" ht="12.75" customHeight="1">
      <c r="B695" s="28"/>
      <c r="C695" s="28"/>
    </row>
    <row r="696" ht="12.75" customHeight="1">
      <c r="B696" s="28"/>
      <c r="C696" s="28"/>
    </row>
    <row r="697" ht="12.75" customHeight="1">
      <c r="B697" s="28"/>
      <c r="C697" s="28"/>
    </row>
    <row r="698" ht="12.75" customHeight="1">
      <c r="B698" s="28"/>
      <c r="C698" s="28"/>
    </row>
    <row r="699" ht="12.75" customHeight="1">
      <c r="B699" s="28"/>
      <c r="C699" s="28"/>
    </row>
    <row r="700" ht="12.75" customHeight="1">
      <c r="B700" s="28"/>
      <c r="C700" s="28"/>
    </row>
    <row r="701" ht="12.75" customHeight="1">
      <c r="B701" s="28"/>
      <c r="C701" s="28"/>
    </row>
    <row r="702" ht="12.75" customHeight="1">
      <c r="B702" s="28"/>
      <c r="C702" s="28"/>
    </row>
    <row r="703" ht="12.75" customHeight="1">
      <c r="B703" s="28"/>
      <c r="C703" s="28"/>
    </row>
    <row r="704" ht="12.75" customHeight="1">
      <c r="B704" s="28"/>
      <c r="C704" s="28"/>
    </row>
    <row r="705" ht="12.75" customHeight="1">
      <c r="B705" s="28"/>
      <c r="C705" s="28"/>
    </row>
    <row r="706" ht="12.75" customHeight="1">
      <c r="B706" s="28"/>
      <c r="C706" s="28"/>
    </row>
    <row r="707" ht="12.75" customHeight="1">
      <c r="B707" s="28"/>
      <c r="C707" s="28"/>
    </row>
    <row r="708" ht="12.75" customHeight="1">
      <c r="B708" s="28"/>
      <c r="C708" s="28"/>
    </row>
    <row r="709" ht="12.75" customHeight="1">
      <c r="B709" s="28"/>
      <c r="C709" s="28"/>
    </row>
    <row r="710" ht="12.75" customHeight="1">
      <c r="B710" s="28"/>
      <c r="C710" s="28"/>
    </row>
    <row r="711" ht="12.75" customHeight="1">
      <c r="B711" s="28"/>
      <c r="C711" s="28"/>
    </row>
    <row r="712" ht="12.75" customHeight="1">
      <c r="B712" s="28"/>
      <c r="C712" s="28"/>
    </row>
    <row r="713" ht="12.75" customHeight="1">
      <c r="B713" s="28"/>
      <c r="C713" s="28"/>
    </row>
    <row r="714" ht="12.75" customHeight="1">
      <c r="B714" s="28"/>
      <c r="C714" s="28"/>
    </row>
    <row r="715" ht="12.75" customHeight="1">
      <c r="B715" s="28"/>
      <c r="C715" s="28"/>
    </row>
    <row r="716" ht="12.75" customHeight="1">
      <c r="B716" s="28"/>
      <c r="C716" s="28"/>
    </row>
    <row r="717" ht="12.75" customHeight="1">
      <c r="B717" s="28"/>
      <c r="C717" s="28"/>
    </row>
    <row r="718" ht="12.75" customHeight="1">
      <c r="B718" s="28"/>
      <c r="C718" s="28"/>
    </row>
    <row r="719" ht="12.75" customHeight="1">
      <c r="B719" s="28"/>
      <c r="C719" s="28"/>
    </row>
    <row r="720" ht="12.75" customHeight="1">
      <c r="B720" s="28"/>
      <c r="C720" s="28"/>
    </row>
    <row r="721" ht="12.75" customHeight="1">
      <c r="B721" s="28"/>
      <c r="C721" s="28"/>
    </row>
    <row r="722" ht="12.75" customHeight="1">
      <c r="B722" s="28"/>
      <c r="C722" s="28"/>
    </row>
    <row r="723" ht="12.75" customHeight="1">
      <c r="B723" s="28"/>
      <c r="C723" s="28"/>
    </row>
    <row r="724" ht="12.75" customHeight="1">
      <c r="B724" s="28"/>
      <c r="C724" s="28"/>
    </row>
    <row r="725" ht="12.75" customHeight="1">
      <c r="B725" s="28"/>
      <c r="C725" s="28"/>
    </row>
    <row r="726" ht="12.75" customHeight="1">
      <c r="B726" s="28"/>
      <c r="C726" s="28"/>
    </row>
    <row r="727" ht="12.75" customHeight="1">
      <c r="B727" s="28"/>
      <c r="C727" s="28"/>
    </row>
    <row r="728" ht="12.75" customHeight="1">
      <c r="B728" s="28"/>
      <c r="C728" s="28"/>
    </row>
    <row r="729" ht="12.75" customHeight="1">
      <c r="B729" s="28"/>
      <c r="C729" s="28"/>
    </row>
    <row r="730" ht="12.75" customHeight="1">
      <c r="B730" s="28"/>
      <c r="C730" s="28"/>
    </row>
    <row r="731" ht="12.75" customHeight="1">
      <c r="B731" s="28"/>
      <c r="C731" s="28"/>
    </row>
    <row r="732" ht="12.75" customHeight="1">
      <c r="B732" s="28"/>
      <c r="C732" s="28"/>
    </row>
    <row r="733" ht="12.75" customHeight="1">
      <c r="B733" s="28"/>
      <c r="C733" s="28"/>
    </row>
    <row r="734" ht="12.75" customHeight="1">
      <c r="B734" s="28"/>
      <c r="C734" s="28"/>
    </row>
    <row r="735" ht="12.75" customHeight="1">
      <c r="B735" s="28"/>
      <c r="C735" s="28"/>
    </row>
    <row r="736" ht="12.75" customHeight="1">
      <c r="B736" s="28"/>
      <c r="C736" s="28"/>
    </row>
    <row r="737" ht="12.75" customHeight="1">
      <c r="B737" s="28"/>
      <c r="C737" s="28"/>
    </row>
    <row r="738" ht="12.75" customHeight="1">
      <c r="B738" s="28"/>
      <c r="C738" s="28"/>
    </row>
    <row r="739" ht="12.75" customHeight="1">
      <c r="B739" s="28"/>
      <c r="C739" s="28"/>
    </row>
    <row r="740" ht="12.75" customHeight="1">
      <c r="B740" s="28"/>
      <c r="C740" s="28"/>
    </row>
    <row r="741" ht="12.75" customHeight="1">
      <c r="B741" s="28"/>
      <c r="C741" s="28"/>
    </row>
    <row r="742" ht="12.75" customHeight="1">
      <c r="B742" s="28"/>
      <c r="C742" s="28"/>
    </row>
    <row r="743" ht="12.75" customHeight="1">
      <c r="B743" s="28"/>
      <c r="C743" s="28"/>
    </row>
    <row r="744" ht="12.75" customHeight="1">
      <c r="B744" s="28"/>
      <c r="C744" s="28"/>
    </row>
    <row r="745" ht="12.75" customHeight="1">
      <c r="B745" s="28"/>
      <c r="C745" s="28"/>
    </row>
    <row r="746" ht="12.75" customHeight="1">
      <c r="B746" s="28"/>
      <c r="C746" s="28"/>
    </row>
    <row r="747" ht="12.75" customHeight="1">
      <c r="B747" s="28"/>
      <c r="C747" s="28"/>
    </row>
    <row r="748" ht="12.75" customHeight="1">
      <c r="B748" s="28"/>
      <c r="C748" s="28"/>
    </row>
    <row r="749" ht="12.75" customHeight="1">
      <c r="B749" s="28"/>
      <c r="C749" s="28"/>
    </row>
    <row r="750" ht="12.75" customHeight="1">
      <c r="B750" s="28"/>
      <c r="C750" s="28"/>
    </row>
    <row r="751" ht="12.75" customHeight="1">
      <c r="B751" s="28"/>
      <c r="C751" s="28"/>
    </row>
    <row r="752" ht="12.75" customHeight="1">
      <c r="B752" s="28"/>
      <c r="C752" s="28"/>
    </row>
    <row r="753" ht="12.75" customHeight="1">
      <c r="B753" s="28"/>
      <c r="C753" s="28"/>
    </row>
    <row r="754" ht="12.75" customHeight="1">
      <c r="B754" s="28"/>
      <c r="C754" s="28"/>
    </row>
    <row r="755" ht="12.75" customHeight="1">
      <c r="B755" s="28"/>
      <c r="C755" s="28"/>
    </row>
    <row r="756" ht="12.75" customHeight="1">
      <c r="B756" s="28"/>
      <c r="C756" s="28"/>
    </row>
    <row r="757" ht="12.75" customHeight="1">
      <c r="B757" s="28"/>
      <c r="C757" s="28"/>
    </row>
    <row r="758" ht="12.75" customHeight="1">
      <c r="B758" s="28"/>
      <c r="C758" s="28"/>
    </row>
    <row r="759" ht="12.75" customHeight="1">
      <c r="B759" s="28"/>
      <c r="C759" s="28"/>
    </row>
    <row r="760" ht="12.75" customHeight="1">
      <c r="B760" s="28"/>
      <c r="C760" s="28"/>
    </row>
    <row r="761" ht="12.75" customHeight="1">
      <c r="B761" s="28"/>
      <c r="C761" s="28"/>
    </row>
    <row r="762" ht="12.75" customHeight="1">
      <c r="B762" s="28"/>
      <c r="C762" s="28"/>
    </row>
    <row r="763" ht="12.75" customHeight="1">
      <c r="B763" s="28"/>
      <c r="C763" s="28"/>
    </row>
    <row r="764" ht="12.75" customHeight="1">
      <c r="B764" s="28"/>
      <c r="C764" s="28"/>
    </row>
    <row r="765" ht="12.75" customHeight="1">
      <c r="B765" s="28"/>
      <c r="C765" s="28"/>
    </row>
    <row r="766" ht="12.75" customHeight="1">
      <c r="B766" s="28"/>
      <c r="C766" s="28"/>
    </row>
    <row r="767" ht="12.75" customHeight="1">
      <c r="B767" s="28"/>
      <c r="C767" s="28"/>
    </row>
    <row r="768" ht="12.75" customHeight="1">
      <c r="B768" s="28"/>
      <c r="C768" s="28"/>
    </row>
    <row r="769" ht="12.75" customHeight="1">
      <c r="B769" s="28"/>
      <c r="C769" s="28"/>
    </row>
    <row r="770" ht="12.75" customHeight="1">
      <c r="B770" s="28"/>
      <c r="C770" s="28"/>
    </row>
    <row r="771" ht="12.75" customHeight="1">
      <c r="B771" s="28"/>
      <c r="C771" s="28"/>
    </row>
    <row r="772" ht="12.75" customHeight="1">
      <c r="B772" s="28"/>
      <c r="C772" s="28"/>
    </row>
    <row r="773" ht="12.75" customHeight="1">
      <c r="B773" s="28"/>
      <c r="C773" s="28"/>
    </row>
    <row r="774" ht="12.75" customHeight="1">
      <c r="B774" s="28"/>
      <c r="C774" s="28"/>
    </row>
    <row r="775" ht="12.75" customHeight="1">
      <c r="B775" s="28"/>
      <c r="C775" s="28"/>
    </row>
    <row r="776" ht="12.75" customHeight="1">
      <c r="B776" s="28"/>
      <c r="C776" s="28"/>
    </row>
    <row r="777" ht="12.75" customHeight="1">
      <c r="B777" s="28"/>
      <c r="C777" s="28"/>
    </row>
    <row r="778" ht="12.75" customHeight="1">
      <c r="B778" s="28"/>
      <c r="C778" s="28"/>
    </row>
    <row r="779" ht="12.75" customHeight="1">
      <c r="B779" s="28"/>
      <c r="C779" s="28"/>
    </row>
    <row r="780" ht="12.75" customHeight="1">
      <c r="B780" s="28"/>
      <c r="C780" s="28"/>
    </row>
    <row r="781" ht="12.75" customHeight="1">
      <c r="B781" s="28"/>
      <c r="C781" s="28"/>
    </row>
    <row r="782" ht="12.75" customHeight="1">
      <c r="B782" s="28"/>
      <c r="C782" s="28"/>
    </row>
    <row r="783" ht="12.75" customHeight="1">
      <c r="B783" s="28"/>
      <c r="C783" s="28"/>
    </row>
    <row r="784" ht="12.75" customHeight="1">
      <c r="B784" s="28"/>
      <c r="C784" s="28"/>
    </row>
    <row r="785" ht="12.75" customHeight="1">
      <c r="B785" s="28"/>
      <c r="C785" s="28"/>
    </row>
    <row r="786" ht="12.75" customHeight="1">
      <c r="B786" s="28"/>
      <c r="C786" s="28"/>
    </row>
    <row r="787" ht="12.75" customHeight="1">
      <c r="B787" s="28"/>
      <c r="C787" s="28"/>
    </row>
    <row r="788" ht="12.75" customHeight="1">
      <c r="B788" s="28"/>
      <c r="C788" s="28"/>
    </row>
    <row r="789" ht="12.75" customHeight="1">
      <c r="B789" s="28"/>
      <c r="C789" s="28"/>
    </row>
    <row r="790" ht="12.75" customHeight="1">
      <c r="B790" s="28"/>
      <c r="C790" s="28"/>
    </row>
    <row r="791" ht="12.75" customHeight="1">
      <c r="B791" s="28"/>
      <c r="C791" s="28"/>
    </row>
    <row r="792" ht="12.75" customHeight="1">
      <c r="B792" s="28"/>
      <c r="C792" s="28"/>
    </row>
    <row r="793" ht="12.75" customHeight="1">
      <c r="B793" s="28"/>
      <c r="C793" s="28"/>
    </row>
    <row r="794" ht="12.75" customHeight="1">
      <c r="B794" s="28"/>
      <c r="C794" s="28"/>
    </row>
    <row r="795" ht="12.75" customHeight="1">
      <c r="B795" s="28"/>
      <c r="C795" s="28"/>
    </row>
    <row r="796" ht="12.75" customHeight="1">
      <c r="B796" s="28"/>
      <c r="C796" s="28"/>
    </row>
    <row r="797" ht="12.75" customHeight="1">
      <c r="B797" s="28"/>
      <c r="C797" s="28"/>
    </row>
    <row r="798" ht="12.75" customHeight="1">
      <c r="B798" s="28"/>
      <c r="C798" s="28"/>
    </row>
    <row r="799" ht="12.75" customHeight="1">
      <c r="B799" s="28"/>
      <c r="C799" s="28"/>
    </row>
    <row r="800" ht="12.75" customHeight="1">
      <c r="B800" s="28"/>
      <c r="C800" s="28"/>
    </row>
    <row r="801" ht="12.75" customHeight="1">
      <c r="B801" s="28"/>
      <c r="C801" s="28"/>
    </row>
    <row r="802" ht="12.75" customHeight="1">
      <c r="B802" s="28"/>
      <c r="C802" s="28"/>
    </row>
    <row r="803" ht="12.75" customHeight="1">
      <c r="B803" s="28"/>
      <c r="C803" s="28"/>
    </row>
    <row r="804" ht="12.75" customHeight="1">
      <c r="B804" s="28"/>
      <c r="C804" s="28"/>
    </row>
    <row r="805" ht="12.75" customHeight="1">
      <c r="B805" s="28"/>
      <c r="C805" s="28"/>
    </row>
    <row r="806" ht="12.75" customHeight="1">
      <c r="B806" s="28"/>
      <c r="C806" s="28"/>
    </row>
    <row r="807" ht="12.75" customHeight="1">
      <c r="B807" s="28"/>
      <c r="C807" s="28"/>
    </row>
    <row r="808" ht="12.75" customHeight="1">
      <c r="B808" s="28"/>
      <c r="C808" s="28"/>
    </row>
    <row r="809" ht="12.75" customHeight="1">
      <c r="B809" s="28"/>
      <c r="C809" s="28"/>
    </row>
    <row r="810" ht="12.75" customHeight="1">
      <c r="B810" s="28"/>
      <c r="C810" s="28"/>
    </row>
    <row r="811" ht="12.75" customHeight="1">
      <c r="B811" s="28"/>
      <c r="C811" s="28"/>
    </row>
    <row r="812" ht="12.75" customHeight="1">
      <c r="B812" s="28"/>
      <c r="C812" s="28"/>
    </row>
    <row r="813" ht="12.75" customHeight="1">
      <c r="B813" s="28"/>
      <c r="C813" s="28"/>
    </row>
    <row r="814" ht="12.75" customHeight="1">
      <c r="B814" s="28"/>
      <c r="C814" s="28"/>
    </row>
    <row r="815" ht="12.75" customHeight="1">
      <c r="B815" s="28"/>
      <c r="C815" s="28"/>
    </row>
    <row r="816" ht="12.75" customHeight="1">
      <c r="B816" s="28"/>
      <c r="C816" s="28"/>
    </row>
    <row r="817" ht="12.75" customHeight="1">
      <c r="B817" s="28"/>
      <c r="C817" s="28"/>
    </row>
    <row r="818" ht="12.75" customHeight="1">
      <c r="B818" s="28"/>
      <c r="C818" s="28"/>
    </row>
    <row r="819" ht="12.75" customHeight="1">
      <c r="B819" s="28"/>
      <c r="C819" s="28"/>
    </row>
    <row r="820" ht="12.75" customHeight="1">
      <c r="B820" s="28"/>
      <c r="C820" s="28"/>
    </row>
    <row r="821" ht="12.75" customHeight="1">
      <c r="B821" s="28"/>
      <c r="C821" s="28"/>
    </row>
    <row r="822" ht="12.75" customHeight="1">
      <c r="B822" s="28"/>
      <c r="C822" s="28"/>
    </row>
    <row r="823" ht="12.75" customHeight="1">
      <c r="B823" s="28"/>
      <c r="C823" s="28"/>
    </row>
    <row r="824" ht="12.75" customHeight="1">
      <c r="B824" s="28"/>
      <c r="C824" s="28"/>
    </row>
    <row r="825" ht="12.75" customHeight="1">
      <c r="B825" s="28"/>
      <c r="C825" s="28"/>
    </row>
    <row r="826" ht="12.75" customHeight="1">
      <c r="B826" s="28"/>
      <c r="C826" s="28"/>
    </row>
    <row r="827" ht="12.75" customHeight="1">
      <c r="B827" s="28"/>
      <c r="C827" s="28"/>
    </row>
    <row r="828" ht="12.75" customHeight="1">
      <c r="B828" s="28"/>
      <c r="C828" s="28"/>
    </row>
    <row r="829" ht="12.75" customHeight="1">
      <c r="B829" s="28"/>
      <c r="C829" s="28"/>
    </row>
    <row r="830" ht="12.75" customHeight="1">
      <c r="B830" s="28"/>
      <c r="C830" s="28"/>
    </row>
    <row r="831" ht="12.75" customHeight="1">
      <c r="B831" s="28"/>
      <c r="C831" s="28"/>
    </row>
    <row r="832" ht="12.75" customHeight="1">
      <c r="B832" s="28"/>
      <c r="C832" s="28"/>
    </row>
    <row r="833" ht="12.75" customHeight="1">
      <c r="B833" s="28"/>
      <c r="C833" s="28"/>
    </row>
    <row r="834" ht="12.75" customHeight="1">
      <c r="B834" s="28"/>
      <c r="C834" s="28"/>
    </row>
    <row r="835" ht="12.75" customHeight="1">
      <c r="B835" s="28"/>
      <c r="C835" s="28"/>
    </row>
    <row r="836" ht="12.75" customHeight="1">
      <c r="B836" s="28"/>
      <c r="C836" s="28"/>
    </row>
    <row r="837" ht="12.75" customHeight="1">
      <c r="B837" s="28"/>
      <c r="C837" s="28"/>
    </row>
    <row r="838" ht="12.75" customHeight="1">
      <c r="B838" s="28"/>
      <c r="C838" s="28"/>
    </row>
    <row r="839" ht="12.75" customHeight="1">
      <c r="B839" s="28"/>
      <c r="C839" s="28"/>
    </row>
    <row r="840" ht="12.75" customHeight="1">
      <c r="B840" s="28"/>
      <c r="C840" s="28"/>
    </row>
    <row r="841" ht="12.75" customHeight="1">
      <c r="B841" s="28"/>
      <c r="C841" s="28"/>
    </row>
    <row r="842" ht="12.75" customHeight="1">
      <c r="B842" s="28"/>
      <c r="C842" s="28"/>
    </row>
    <row r="843" ht="12.75" customHeight="1">
      <c r="B843" s="28"/>
      <c r="C843" s="28"/>
    </row>
    <row r="844" ht="12.75" customHeight="1">
      <c r="B844" s="28"/>
      <c r="C844" s="28"/>
    </row>
    <row r="845" ht="12.75" customHeight="1">
      <c r="B845" s="28"/>
      <c r="C845" s="28"/>
    </row>
    <row r="846" ht="12.75" customHeight="1">
      <c r="B846" s="28"/>
      <c r="C846" s="28"/>
    </row>
    <row r="847" ht="12.75" customHeight="1">
      <c r="B847" s="28"/>
      <c r="C847" s="28"/>
    </row>
    <row r="848" ht="12.75" customHeight="1">
      <c r="B848" s="28"/>
      <c r="C848" s="28"/>
    </row>
    <row r="849" ht="12.75" customHeight="1">
      <c r="B849" s="28"/>
      <c r="C849" s="28"/>
    </row>
    <row r="850" ht="12.75" customHeight="1">
      <c r="B850" s="28"/>
      <c r="C850" s="28"/>
    </row>
    <row r="851" ht="12.75" customHeight="1">
      <c r="B851" s="28"/>
      <c r="C851" s="28"/>
    </row>
    <row r="852" ht="12.75" customHeight="1">
      <c r="B852" s="28"/>
      <c r="C852" s="28"/>
    </row>
    <row r="853" ht="12.75" customHeight="1">
      <c r="B853" s="28"/>
      <c r="C853" s="28"/>
    </row>
    <row r="854" ht="12.75" customHeight="1">
      <c r="B854" s="28"/>
      <c r="C854" s="28"/>
    </row>
    <row r="855" ht="12.75" customHeight="1">
      <c r="B855" s="28"/>
      <c r="C855" s="28"/>
    </row>
    <row r="856" ht="12.75" customHeight="1">
      <c r="B856" s="28"/>
      <c r="C856" s="28"/>
    </row>
    <row r="857" ht="12.75" customHeight="1">
      <c r="B857" s="28"/>
      <c r="C857" s="28"/>
    </row>
    <row r="858" ht="12.75" customHeight="1">
      <c r="B858" s="28"/>
      <c r="C858" s="28"/>
    </row>
    <row r="859" ht="12.75" customHeight="1">
      <c r="B859" s="28"/>
      <c r="C859" s="28"/>
    </row>
    <row r="860" ht="12.75" customHeight="1">
      <c r="B860" s="28"/>
      <c r="C860" s="28"/>
    </row>
    <row r="861" ht="12.75" customHeight="1">
      <c r="B861" s="28"/>
      <c r="C861" s="28"/>
    </row>
    <row r="862" ht="12.75" customHeight="1">
      <c r="B862" s="28"/>
      <c r="C862" s="28"/>
    </row>
    <row r="863" ht="12.75" customHeight="1">
      <c r="B863" s="28"/>
      <c r="C863" s="28"/>
    </row>
    <row r="864" ht="12.75" customHeight="1">
      <c r="B864" s="28"/>
      <c r="C864" s="28"/>
    </row>
    <row r="865" ht="12.75" customHeight="1">
      <c r="B865" s="28"/>
      <c r="C865" s="28"/>
    </row>
    <row r="866" ht="12.75" customHeight="1">
      <c r="B866" s="28"/>
      <c r="C866" s="28"/>
    </row>
    <row r="867" ht="12.75" customHeight="1">
      <c r="B867" s="28"/>
      <c r="C867" s="28"/>
    </row>
    <row r="868" ht="12.75" customHeight="1">
      <c r="B868" s="28"/>
      <c r="C868" s="28"/>
    </row>
    <row r="869" ht="12.75" customHeight="1">
      <c r="B869" s="28"/>
      <c r="C869" s="28"/>
    </row>
    <row r="870" ht="12.75" customHeight="1">
      <c r="B870" s="28"/>
      <c r="C870" s="28"/>
    </row>
    <row r="871" ht="12.75" customHeight="1">
      <c r="B871" s="28"/>
      <c r="C871" s="28"/>
    </row>
    <row r="872" ht="12.75" customHeight="1">
      <c r="B872" s="28"/>
      <c r="C872" s="28"/>
    </row>
    <row r="873" ht="12.75" customHeight="1">
      <c r="B873" s="28"/>
      <c r="C873" s="28"/>
    </row>
    <row r="874" ht="12.75" customHeight="1">
      <c r="B874" s="28"/>
      <c r="C874" s="28"/>
    </row>
    <row r="875" ht="12.75" customHeight="1">
      <c r="B875" s="28"/>
      <c r="C875" s="28"/>
    </row>
    <row r="876" ht="12.75" customHeight="1">
      <c r="B876" s="28"/>
      <c r="C876" s="28"/>
    </row>
    <row r="877" ht="12.75" customHeight="1">
      <c r="B877" s="28"/>
      <c r="C877" s="28"/>
    </row>
    <row r="878" ht="12.75" customHeight="1">
      <c r="B878" s="28"/>
      <c r="C878" s="28"/>
    </row>
    <row r="879" ht="12.75" customHeight="1">
      <c r="B879" s="28"/>
      <c r="C879" s="28"/>
    </row>
    <row r="880" ht="12.75" customHeight="1">
      <c r="B880" s="28"/>
      <c r="C880" s="28"/>
    </row>
    <row r="881" ht="12.75" customHeight="1">
      <c r="B881" s="28"/>
      <c r="C881" s="28"/>
    </row>
    <row r="882" ht="12.75" customHeight="1">
      <c r="B882" s="28"/>
      <c r="C882" s="28"/>
    </row>
    <row r="883" ht="12.75" customHeight="1">
      <c r="B883" s="28"/>
      <c r="C883" s="28"/>
    </row>
    <row r="884" ht="12.75" customHeight="1">
      <c r="B884" s="28"/>
      <c r="C884" s="28"/>
    </row>
    <row r="885" ht="12.75" customHeight="1">
      <c r="B885" s="28"/>
      <c r="C885" s="28"/>
    </row>
    <row r="886" ht="12.75" customHeight="1">
      <c r="B886" s="28"/>
      <c r="C886" s="28"/>
    </row>
    <row r="887" ht="12.75" customHeight="1">
      <c r="B887" s="28"/>
      <c r="C887" s="28"/>
    </row>
    <row r="888" ht="12.75" customHeight="1">
      <c r="B888" s="28"/>
      <c r="C888" s="28"/>
    </row>
    <row r="889" ht="12.75" customHeight="1">
      <c r="B889" s="28"/>
      <c r="C889" s="28"/>
    </row>
    <row r="890" ht="12.75" customHeight="1">
      <c r="B890" s="28"/>
      <c r="C890" s="28"/>
    </row>
    <row r="891" ht="12.75" customHeight="1">
      <c r="B891" s="28"/>
      <c r="C891" s="28"/>
    </row>
    <row r="892" ht="12.75" customHeight="1">
      <c r="B892" s="28"/>
      <c r="C892" s="28"/>
    </row>
    <row r="893" ht="12.75" customHeight="1">
      <c r="B893" s="28"/>
      <c r="C893" s="28"/>
    </row>
    <row r="894" ht="12.75" customHeight="1">
      <c r="B894" s="28"/>
      <c r="C894" s="28"/>
    </row>
    <row r="895" ht="12.75" customHeight="1">
      <c r="B895" s="28"/>
      <c r="C895" s="28"/>
    </row>
    <row r="896" ht="12.75" customHeight="1">
      <c r="B896" s="28"/>
      <c r="C896" s="28"/>
    </row>
    <row r="897" ht="12.75" customHeight="1">
      <c r="B897" s="28"/>
      <c r="C897" s="28"/>
    </row>
    <row r="898" ht="12.75" customHeight="1">
      <c r="B898" s="28"/>
      <c r="C898" s="28"/>
    </row>
    <row r="899" ht="12.75" customHeight="1">
      <c r="B899" s="28"/>
      <c r="C899" s="28"/>
    </row>
    <row r="900" ht="12.75" customHeight="1">
      <c r="B900" s="28"/>
      <c r="C900" s="28"/>
    </row>
    <row r="901" ht="12.75" customHeight="1">
      <c r="B901" s="28"/>
      <c r="C901" s="28"/>
    </row>
    <row r="902" ht="12.75" customHeight="1">
      <c r="B902" s="28"/>
      <c r="C902" s="28"/>
    </row>
    <row r="903" ht="12.75" customHeight="1">
      <c r="B903" s="28"/>
      <c r="C903" s="28"/>
    </row>
    <row r="904" ht="12.75" customHeight="1">
      <c r="B904" s="28"/>
      <c r="C904" s="28"/>
    </row>
    <row r="905" ht="12.75" customHeight="1">
      <c r="B905" s="28"/>
      <c r="C905" s="28"/>
    </row>
    <row r="906" ht="12.75" customHeight="1">
      <c r="B906" s="28"/>
      <c r="C906" s="28"/>
    </row>
    <row r="907" ht="12.75" customHeight="1">
      <c r="B907" s="28"/>
      <c r="C907" s="28"/>
    </row>
    <row r="908" ht="12.75" customHeight="1">
      <c r="B908" s="28"/>
      <c r="C908" s="28"/>
    </row>
    <row r="909" ht="12.75" customHeight="1">
      <c r="B909" s="28"/>
      <c r="C909" s="28"/>
    </row>
    <row r="910" ht="12.75" customHeight="1">
      <c r="B910" s="28"/>
      <c r="C910" s="28"/>
    </row>
    <row r="911" ht="12.75" customHeight="1">
      <c r="B911" s="28"/>
      <c r="C911" s="28"/>
    </row>
    <row r="912" ht="12.75" customHeight="1">
      <c r="B912" s="28"/>
      <c r="C912" s="28"/>
    </row>
    <row r="913" ht="12.75" customHeight="1">
      <c r="B913" s="28"/>
      <c r="C913" s="28"/>
    </row>
    <row r="914" ht="12.75" customHeight="1">
      <c r="B914" s="28"/>
      <c r="C914" s="28"/>
    </row>
    <row r="915" ht="12.75" customHeight="1">
      <c r="B915" s="28"/>
      <c r="C915" s="28"/>
    </row>
    <row r="916" ht="12.75" customHeight="1">
      <c r="B916" s="28"/>
      <c r="C916" s="28"/>
    </row>
    <row r="917" ht="12.75" customHeight="1">
      <c r="B917" s="28"/>
      <c r="C917" s="28"/>
    </row>
    <row r="918" ht="12.75" customHeight="1">
      <c r="B918" s="28"/>
      <c r="C918" s="28"/>
    </row>
    <row r="919" ht="12.75" customHeight="1">
      <c r="B919" s="28"/>
      <c r="C919" s="28"/>
    </row>
    <row r="920" ht="12.75" customHeight="1">
      <c r="B920" s="28"/>
      <c r="C920" s="28"/>
    </row>
    <row r="921" ht="12.75" customHeight="1">
      <c r="B921" s="28"/>
      <c r="C921" s="28"/>
    </row>
    <row r="922" ht="12.75" customHeight="1">
      <c r="B922" s="28"/>
      <c r="C922" s="28"/>
    </row>
    <row r="923" ht="12.75" customHeight="1">
      <c r="B923" s="28"/>
      <c r="C923" s="28"/>
    </row>
    <row r="924" ht="12.75" customHeight="1">
      <c r="B924" s="28"/>
      <c r="C924" s="28"/>
    </row>
    <row r="925" ht="12.75" customHeight="1">
      <c r="B925" s="28"/>
      <c r="C925" s="28"/>
    </row>
    <row r="926" ht="12.75" customHeight="1">
      <c r="B926" s="28"/>
      <c r="C926" s="28"/>
    </row>
    <row r="927" ht="12.75" customHeight="1">
      <c r="B927" s="28"/>
      <c r="C927" s="28"/>
    </row>
    <row r="928" ht="12.75" customHeight="1">
      <c r="B928" s="28"/>
      <c r="C928" s="28"/>
    </row>
    <row r="929" ht="12.75" customHeight="1">
      <c r="B929" s="28"/>
      <c r="C929" s="28"/>
    </row>
    <row r="930" ht="12.75" customHeight="1">
      <c r="B930" s="28"/>
      <c r="C930" s="28"/>
    </row>
    <row r="931" ht="12.75" customHeight="1">
      <c r="B931" s="28"/>
      <c r="C931" s="28"/>
    </row>
    <row r="932" ht="12.75" customHeight="1">
      <c r="B932" s="28"/>
      <c r="C932" s="28"/>
    </row>
    <row r="933" ht="12.75" customHeight="1">
      <c r="B933" s="28"/>
      <c r="C933" s="28"/>
    </row>
    <row r="934" ht="12.75" customHeight="1">
      <c r="B934" s="28"/>
      <c r="C934" s="28"/>
    </row>
    <row r="935" ht="12.75" customHeight="1">
      <c r="B935" s="28"/>
      <c r="C935" s="28"/>
    </row>
    <row r="936" ht="12.75" customHeight="1">
      <c r="B936" s="28"/>
      <c r="C936" s="28"/>
    </row>
    <row r="937" ht="12.75" customHeight="1">
      <c r="B937" s="28"/>
      <c r="C937" s="28"/>
    </row>
    <row r="938" ht="12.75" customHeight="1">
      <c r="B938" s="28"/>
      <c r="C938" s="28"/>
    </row>
    <row r="939" ht="12.75" customHeight="1">
      <c r="B939" s="28"/>
      <c r="C939" s="28"/>
    </row>
    <row r="940" ht="12.75" customHeight="1">
      <c r="B940" s="28"/>
      <c r="C940" s="28"/>
    </row>
    <row r="941" ht="12.75" customHeight="1">
      <c r="B941" s="28"/>
      <c r="C941" s="28"/>
    </row>
    <row r="942" ht="12.75" customHeight="1">
      <c r="B942" s="28"/>
      <c r="C942" s="28"/>
    </row>
    <row r="943" ht="12.75" customHeight="1">
      <c r="B943" s="28"/>
      <c r="C943" s="28"/>
    </row>
    <row r="944" ht="12.75" customHeight="1">
      <c r="B944" s="28"/>
      <c r="C944" s="28"/>
    </row>
    <row r="945" ht="12.75" customHeight="1">
      <c r="B945" s="28"/>
      <c r="C945" s="28"/>
    </row>
    <row r="946" ht="12.75" customHeight="1">
      <c r="B946" s="28"/>
      <c r="C946" s="28"/>
    </row>
    <row r="947" ht="12.75" customHeight="1">
      <c r="B947" s="28"/>
      <c r="C947" s="28"/>
    </row>
    <row r="948" ht="12.75" customHeight="1">
      <c r="B948" s="28"/>
      <c r="C948" s="28"/>
    </row>
    <row r="949" ht="12.75" customHeight="1">
      <c r="B949" s="28"/>
      <c r="C949" s="28"/>
    </row>
    <row r="950" ht="12.75" customHeight="1">
      <c r="B950" s="28"/>
      <c r="C950" s="28"/>
    </row>
    <row r="951" ht="12.75" customHeight="1">
      <c r="B951" s="28"/>
      <c r="C951" s="28"/>
    </row>
    <row r="952" ht="12.75" customHeight="1">
      <c r="B952" s="28"/>
      <c r="C952" s="28"/>
    </row>
    <row r="953" ht="12.75" customHeight="1">
      <c r="B953" s="28"/>
      <c r="C953" s="28"/>
    </row>
    <row r="954" ht="12.75" customHeight="1">
      <c r="B954" s="28"/>
      <c r="C954" s="28"/>
    </row>
    <row r="955" ht="12.75" customHeight="1">
      <c r="B955" s="28"/>
      <c r="C955" s="28"/>
    </row>
    <row r="956" ht="12.75" customHeight="1">
      <c r="B956" s="28"/>
      <c r="C956" s="28"/>
    </row>
    <row r="957" ht="12.75" customHeight="1">
      <c r="B957" s="28"/>
      <c r="C957" s="28"/>
    </row>
    <row r="958" ht="12.75" customHeight="1">
      <c r="B958" s="28"/>
      <c r="C958" s="28"/>
    </row>
    <row r="959" ht="12.75" customHeight="1">
      <c r="B959" s="28"/>
      <c r="C959" s="28"/>
    </row>
    <row r="960" ht="12.75" customHeight="1">
      <c r="B960" s="28"/>
      <c r="C960" s="28"/>
    </row>
    <row r="961" ht="12.75" customHeight="1">
      <c r="B961" s="28"/>
      <c r="C961" s="28"/>
    </row>
    <row r="962" ht="12.75" customHeight="1">
      <c r="B962" s="28"/>
      <c r="C962" s="28"/>
    </row>
    <row r="963" ht="12.75" customHeight="1">
      <c r="B963" s="28"/>
      <c r="C963" s="28"/>
    </row>
    <row r="964" ht="12.75" customHeight="1">
      <c r="B964" s="28"/>
      <c r="C964" s="28"/>
    </row>
    <row r="965" ht="12.75" customHeight="1">
      <c r="B965" s="28"/>
      <c r="C965" s="28"/>
    </row>
    <row r="966" ht="12.75" customHeight="1">
      <c r="B966" s="28"/>
      <c r="C966" s="28"/>
    </row>
    <row r="967" ht="12.75" customHeight="1">
      <c r="B967" s="28"/>
      <c r="C967" s="28"/>
    </row>
    <row r="968" ht="12.75" customHeight="1">
      <c r="B968" s="28"/>
      <c r="C968" s="28"/>
    </row>
    <row r="969" ht="12.75" customHeight="1">
      <c r="B969" s="28"/>
      <c r="C969" s="28"/>
    </row>
    <row r="970" ht="12.75" customHeight="1">
      <c r="B970" s="28"/>
      <c r="C970" s="28"/>
    </row>
    <row r="971" ht="12.75" customHeight="1">
      <c r="B971" s="28"/>
      <c r="C971" s="28"/>
    </row>
    <row r="972" ht="12.75" customHeight="1">
      <c r="B972" s="28"/>
      <c r="C972" s="28"/>
    </row>
    <row r="973" ht="12.75" customHeight="1">
      <c r="B973" s="28"/>
      <c r="C973" s="28"/>
    </row>
    <row r="974" ht="12.75" customHeight="1">
      <c r="B974" s="28"/>
      <c r="C974" s="28"/>
    </row>
    <row r="975" ht="12.75" customHeight="1">
      <c r="B975" s="28"/>
      <c r="C975" s="28"/>
    </row>
    <row r="976" ht="12.75" customHeight="1">
      <c r="B976" s="28"/>
      <c r="C976" s="28"/>
    </row>
    <row r="977" ht="12.75" customHeight="1">
      <c r="B977" s="28"/>
      <c r="C977" s="28"/>
    </row>
    <row r="978" ht="12.75" customHeight="1">
      <c r="B978" s="28"/>
      <c r="C978" s="28"/>
    </row>
    <row r="979" ht="12.75" customHeight="1">
      <c r="B979" s="28"/>
      <c r="C979" s="28"/>
    </row>
    <row r="980" ht="12.75" customHeight="1">
      <c r="B980" s="28"/>
      <c r="C980" s="28"/>
    </row>
    <row r="981" ht="12.75" customHeight="1">
      <c r="B981" s="28"/>
      <c r="C981" s="28"/>
    </row>
    <row r="982" ht="12.75" customHeight="1">
      <c r="B982" s="28"/>
      <c r="C982" s="28"/>
    </row>
    <row r="983" ht="12.75" customHeight="1">
      <c r="B983" s="28"/>
      <c r="C983" s="28"/>
    </row>
    <row r="984" ht="12.75" customHeight="1">
      <c r="B984" s="28"/>
      <c r="C984" s="28"/>
    </row>
    <row r="985" ht="12.75" customHeight="1">
      <c r="B985" s="28"/>
      <c r="C985" s="28"/>
    </row>
    <row r="986" ht="12.75" customHeight="1">
      <c r="B986" s="28"/>
      <c r="C986" s="28"/>
    </row>
    <row r="987" ht="12.75" customHeight="1">
      <c r="B987" s="28"/>
      <c r="C987" s="28"/>
    </row>
    <row r="988" ht="12.75" customHeight="1">
      <c r="B988" s="28"/>
      <c r="C988" s="28"/>
    </row>
    <row r="989" ht="12.75" customHeight="1">
      <c r="B989" s="28"/>
      <c r="C989" s="28"/>
    </row>
    <row r="990" ht="12.75" customHeight="1">
      <c r="B990" s="28"/>
      <c r="C990" s="28"/>
    </row>
    <row r="991" ht="12.75" customHeight="1">
      <c r="B991" s="28"/>
      <c r="C991" s="28"/>
    </row>
    <row r="992" ht="12.75" customHeight="1">
      <c r="B992" s="28"/>
      <c r="C992" s="28"/>
    </row>
    <row r="993" ht="12.75" customHeight="1">
      <c r="B993" s="28"/>
      <c r="C993" s="28"/>
    </row>
    <row r="994" ht="12.75" customHeight="1">
      <c r="B994" s="28"/>
      <c r="C994" s="28"/>
    </row>
    <row r="995" ht="12.75" customHeight="1">
      <c r="B995" s="28"/>
      <c r="C995" s="28"/>
    </row>
    <row r="996" ht="12.75" customHeight="1">
      <c r="B996" s="28"/>
      <c r="C996" s="28"/>
    </row>
    <row r="997" ht="12.75" customHeight="1">
      <c r="B997" s="28"/>
      <c r="C997" s="28"/>
    </row>
    <row r="998" ht="12.75" customHeight="1">
      <c r="B998" s="28"/>
      <c r="C998" s="28"/>
    </row>
    <row r="999" ht="12.75" customHeight="1">
      <c r="B999" s="28"/>
      <c r="C999" s="28"/>
    </row>
    <row r="1000" ht="12.75" customHeight="1">
      <c r="B1000" s="28"/>
      <c r="C1000" s="28"/>
    </row>
  </sheetData>
  <mergeCells count="2">
    <mergeCell ref="B45:F45"/>
    <mergeCell ref="B46:F46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3.25"/>
    <col customWidth="1" min="2" max="7" width="25.75"/>
    <col customWidth="1" min="8" max="8" width="3.25"/>
    <col customWidth="1" min="9" max="26" width="10.63"/>
  </cols>
  <sheetData>
    <row r="1" ht="12.75" customHeight="1">
      <c r="B1" s="28"/>
      <c r="C1" s="28"/>
    </row>
    <row r="2" ht="12.75" customHeight="1">
      <c r="B2" s="29" t="s">
        <v>11</v>
      </c>
      <c r="C2" s="30">
        <v>1000.0</v>
      </c>
      <c r="E2" s="47" t="s">
        <v>22</v>
      </c>
      <c r="F2" s="48"/>
    </row>
    <row r="3" ht="12.75" customHeight="1">
      <c r="B3" s="31" t="s">
        <v>12</v>
      </c>
      <c r="C3" s="32">
        <v>3.0</v>
      </c>
      <c r="E3" s="49" t="s">
        <v>23</v>
      </c>
      <c r="F3" s="50">
        <v>0.0634</v>
      </c>
      <c r="G3" s="1"/>
    </row>
    <row r="4" ht="12.75" customHeight="1">
      <c r="B4" s="31" t="s">
        <v>13</v>
      </c>
      <c r="C4" s="51">
        <v>0.1</v>
      </c>
      <c r="D4" s="1"/>
      <c r="E4" s="40" t="s">
        <v>24</v>
      </c>
      <c r="F4" s="52">
        <v>0.0746</v>
      </c>
    </row>
    <row r="5" ht="12.75" customHeight="1">
      <c r="B5" s="31" t="s">
        <v>25</v>
      </c>
      <c r="C5" s="32" t="s">
        <v>26</v>
      </c>
      <c r="E5" s="43" t="s">
        <v>27</v>
      </c>
      <c r="F5" s="53">
        <v>0.0625</v>
      </c>
    </row>
    <row r="6" ht="12.75" customHeight="1">
      <c r="B6" s="33" t="s">
        <v>28</v>
      </c>
      <c r="C6" s="54">
        <f>(1-(1/(1+C4))^C3)/C4</f>
        <v>2.486851991</v>
      </c>
    </row>
    <row r="7" ht="12.75" customHeight="1">
      <c r="B7" s="28"/>
      <c r="C7" s="28"/>
    </row>
    <row r="8" ht="12.75" customHeight="1">
      <c r="B8" s="35" t="s">
        <v>29</v>
      </c>
      <c r="C8" s="28"/>
    </row>
    <row r="9" ht="12.75" customHeight="1">
      <c r="B9" s="36" t="s">
        <v>12</v>
      </c>
      <c r="C9" s="37" t="s">
        <v>15</v>
      </c>
      <c r="D9" s="37" t="s">
        <v>16</v>
      </c>
      <c r="E9" s="37" t="s">
        <v>17</v>
      </c>
      <c r="F9" s="38" t="s">
        <v>18</v>
      </c>
      <c r="G9" s="39" t="s">
        <v>19</v>
      </c>
    </row>
    <row r="10" ht="12.75" customHeight="1">
      <c r="B10" s="40">
        <v>1.0</v>
      </c>
      <c r="C10" s="28">
        <f>$C$2</f>
        <v>1000</v>
      </c>
      <c r="D10" s="41">
        <f t="shared" ref="D10:D12" si="1">C10*$C$4</f>
        <v>100</v>
      </c>
      <c r="E10" s="41">
        <f t="shared" ref="E10:E12" si="2">F10-D10</f>
        <v>302.1148036</v>
      </c>
      <c r="F10" s="41">
        <f t="shared" ref="F10:F12" si="3">$C$2/$C$6</f>
        <v>402.1148036</v>
      </c>
      <c r="G10" s="42">
        <f t="shared" ref="G10:G12" si="4">C10-E10</f>
        <v>697.8851964</v>
      </c>
    </row>
    <row r="11" ht="12.75" customHeight="1">
      <c r="B11" s="40">
        <v>2.0</v>
      </c>
      <c r="C11" s="41">
        <f t="shared" ref="C11:C12" si="5">G10</f>
        <v>697.8851964</v>
      </c>
      <c r="D11" s="41">
        <f t="shared" si="1"/>
        <v>69.78851964</v>
      </c>
      <c r="E11" s="41">
        <f t="shared" si="2"/>
        <v>332.326284</v>
      </c>
      <c r="F11" s="41">
        <f t="shared" si="3"/>
        <v>402.1148036</v>
      </c>
      <c r="G11" s="42">
        <f t="shared" si="4"/>
        <v>365.5589124</v>
      </c>
    </row>
    <row r="12" ht="12.75" customHeight="1">
      <c r="B12" s="43">
        <v>3.0</v>
      </c>
      <c r="C12" s="44">
        <f t="shared" si="5"/>
        <v>365.5589124</v>
      </c>
      <c r="D12" s="44">
        <f t="shared" si="1"/>
        <v>36.55589124</v>
      </c>
      <c r="E12" s="44">
        <f t="shared" si="2"/>
        <v>365.5589124</v>
      </c>
      <c r="F12" s="44">
        <f t="shared" si="3"/>
        <v>402.1148036</v>
      </c>
      <c r="G12" s="45">
        <f t="shared" si="4"/>
        <v>0</v>
      </c>
    </row>
    <row r="13" ht="12.75" customHeight="1">
      <c r="B13" s="28"/>
      <c r="C13" s="28"/>
    </row>
    <row r="14" ht="12.75" customHeight="1">
      <c r="B14" s="55" t="s">
        <v>30</v>
      </c>
      <c r="C14" s="28"/>
    </row>
    <row r="15" ht="12.75" customHeight="1">
      <c r="B15" s="36" t="s">
        <v>12</v>
      </c>
      <c r="C15" s="37" t="s">
        <v>31</v>
      </c>
      <c r="D15" s="37" t="s">
        <v>16</v>
      </c>
      <c r="E15" s="37" t="s">
        <v>17</v>
      </c>
      <c r="F15" s="38" t="s">
        <v>18</v>
      </c>
      <c r="G15" s="39" t="s">
        <v>19</v>
      </c>
      <c r="H15" s="28"/>
    </row>
    <row r="16" ht="12.75" customHeight="1">
      <c r="B16" s="40">
        <v>1.0</v>
      </c>
      <c r="C16" s="41">
        <f>$C$2*(1+F3)</f>
        <v>1063.4</v>
      </c>
      <c r="D16" s="41">
        <f t="shared" ref="D16:D18" si="6">C16*$C$4</f>
        <v>106.34</v>
      </c>
      <c r="E16" s="41">
        <f t="shared" ref="E16:E18" si="7">F16-D16</f>
        <v>321.2688822</v>
      </c>
      <c r="F16" s="41">
        <f>($C$2/$C$6)*(1+F3)</f>
        <v>427.6088822</v>
      </c>
      <c r="G16" s="42">
        <f t="shared" ref="G16:G18" si="8">(C16-E16)</f>
        <v>742.1311178</v>
      </c>
    </row>
    <row r="17" ht="12.75" customHeight="1">
      <c r="B17" s="40">
        <v>2.0</v>
      </c>
      <c r="C17" s="41">
        <f t="shared" ref="C17:C18" si="9">G16*(1+F4)</f>
        <v>797.4940992</v>
      </c>
      <c r="D17" s="41">
        <f t="shared" si="6"/>
        <v>79.74940992</v>
      </c>
      <c r="E17" s="41">
        <f t="shared" si="7"/>
        <v>379.7590949</v>
      </c>
      <c r="F17" s="41">
        <f>($C$2/$C$6)*(1+F3)*(1+F4)</f>
        <v>459.5085048</v>
      </c>
      <c r="G17" s="42">
        <f t="shared" si="8"/>
        <v>417.7350044</v>
      </c>
    </row>
    <row r="18" ht="12.75" customHeight="1">
      <c r="B18" s="43">
        <v>3.0</v>
      </c>
      <c r="C18" s="44">
        <f t="shared" si="9"/>
        <v>443.8434421</v>
      </c>
      <c r="D18" s="44">
        <f t="shared" si="6"/>
        <v>44.38434421</v>
      </c>
      <c r="E18" s="44">
        <f t="shared" si="7"/>
        <v>443.8434421</v>
      </c>
      <c r="F18" s="44">
        <f>($C$2/$C$6)*(1+F3)*(1+F4)*(1+F5)</f>
        <v>488.2277863</v>
      </c>
      <c r="G18" s="45">
        <f t="shared" si="8"/>
        <v>0</v>
      </c>
    </row>
    <row r="19" ht="12.75" customHeight="1">
      <c r="B19" s="28"/>
      <c r="C19" s="28"/>
    </row>
    <row r="20" ht="12.75" customHeight="1">
      <c r="B20" s="28"/>
      <c r="C20" s="28"/>
    </row>
    <row r="21" ht="12.75" customHeight="1">
      <c r="B21" s="28"/>
      <c r="C21" s="28"/>
    </row>
    <row r="22" ht="12.75" customHeight="1">
      <c r="B22" s="28"/>
      <c r="C22" s="28"/>
    </row>
    <row r="23" ht="12.75" customHeight="1">
      <c r="B23" s="28"/>
      <c r="C23" s="28"/>
    </row>
    <row r="24" ht="12.75" customHeight="1">
      <c r="B24" s="28"/>
      <c r="C24" s="28"/>
    </row>
    <row r="25" ht="12.75" customHeight="1">
      <c r="B25" s="28"/>
      <c r="C25" s="28"/>
    </row>
    <row r="26" ht="12.75" customHeight="1">
      <c r="B26" s="28"/>
      <c r="C26" s="28"/>
    </row>
    <row r="27" ht="12.75" customHeight="1">
      <c r="B27" s="28"/>
      <c r="C27" s="28"/>
    </row>
    <row r="28" ht="12.75" customHeight="1">
      <c r="B28" s="28"/>
      <c r="C28" s="28"/>
    </row>
    <row r="29" ht="12.75" customHeight="1">
      <c r="B29" s="28"/>
      <c r="C29" s="28"/>
    </row>
    <row r="30" ht="12.75" customHeight="1">
      <c r="B30" s="28"/>
      <c r="C30" s="28"/>
    </row>
    <row r="31" ht="12.75" customHeight="1">
      <c r="B31" s="28"/>
      <c r="C31" s="28"/>
    </row>
    <row r="32" ht="12.75" customHeight="1">
      <c r="B32" s="28"/>
      <c r="C32" s="28"/>
    </row>
    <row r="33" ht="12.75" customHeight="1">
      <c r="B33" s="28"/>
      <c r="C33" s="28"/>
    </row>
    <row r="34" ht="12.75" customHeight="1">
      <c r="B34" s="28"/>
      <c r="C34" s="28"/>
    </row>
    <row r="35" ht="12.75" customHeight="1">
      <c r="B35" s="28"/>
      <c r="C35" s="28"/>
    </row>
    <row r="36" ht="12.75" customHeight="1">
      <c r="B36" s="28"/>
      <c r="C36" s="28"/>
    </row>
    <row r="37" ht="12.75" customHeight="1">
      <c r="B37" s="28"/>
      <c r="C37" s="28"/>
    </row>
    <row r="38" ht="12.75" customHeight="1">
      <c r="B38" s="28"/>
      <c r="C38" s="28"/>
    </row>
    <row r="39" ht="12.75" customHeight="1">
      <c r="B39" s="28"/>
      <c r="C39" s="28"/>
    </row>
    <row r="40" ht="12.75" customHeight="1">
      <c r="B40" s="28"/>
      <c r="C40" s="28"/>
    </row>
    <row r="41" ht="12.75" customHeight="1">
      <c r="B41" s="28"/>
      <c r="C41" s="28"/>
    </row>
    <row r="42" ht="12.75" customHeight="1">
      <c r="B42" s="28"/>
      <c r="C42" s="28"/>
    </row>
    <row r="43" ht="12.75" customHeight="1">
      <c r="B43" s="28"/>
      <c r="C43" s="28"/>
    </row>
    <row r="44" ht="12.75" customHeight="1">
      <c r="B44" s="28"/>
      <c r="C44" s="28"/>
    </row>
    <row r="45" ht="12.75" customHeight="1">
      <c r="B45" s="28"/>
      <c r="C45" s="28"/>
    </row>
    <row r="46" ht="12.75" customHeight="1">
      <c r="B46" s="28"/>
      <c r="C46" s="28"/>
    </row>
    <row r="47" ht="12.75" customHeight="1">
      <c r="B47" s="28"/>
      <c r="C47" s="28"/>
    </row>
    <row r="48" ht="12.75" customHeight="1">
      <c r="B48" s="28"/>
      <c r="C48" s="28"/>
    </row>
    <row r="49" ht="12.75" customHeight="1">
      <c r="B49" s="28"/>
      <c r="C49" s="28"/>
    </row>
    <row r="50" ht="12.75" customHeight="1">
      <c r="B50" s="28"/>
      <c r="C50" s="28"/>
    </row>
    <row r="51" ht="12.75" customHeight="1">
      <c r="B51" s="28"/>
      <c r="C51" s="28"/>
    </row>
    <row r="52" ht="12.75" customHeight="1">
      <c r="B52" s="28"/>
      <c r="C52" s="28"/>
    </row>
    <row r="53" ht="12.75" customHeight="1">
      <c r="B53" s="28"/>
      <c r="C53" s="28"/>
    </row>
    <row r="54" ht="12.75" customHeight="1">
      <c r="B54" s="28"/>
      <c r="C54" s="28"/>
    </row>
    <row r="55" ht="12.75" customHeight="1">
      <c r="B55" s="28"/>
      <c r="C55" s="28"/>
    </row>
    <row r="56" ht="12.75" customHeight="1">
      <c r="B56" s="28"/>
      <c r="C56" s="28"/>
    </row>
    <row r="57" ht="12.75" customHeight="1">
      <c r="B57" s="28"/>
      <c r="C57" s="28"/>
    </row>
    <row r="58" ht="12.75" customHeight="1">
      <c r="B58" s="28"/>
      <c r="C58" s="28"/>
    </row>
    <row r="59" ht="12.75" customHeight="1">
      <c r="B59" s="28"/>
      <c r="C59" s="28"/>
    </row>
    <row r="60" ht="12.75" customHeight="1">
      <c r="B60" s="28"/>
      <c r="C60" s="28"/>
    </row>
    <row r="61" ht="12.75" customHeight="1">
      <c r="B61" s="28"/>
      <c r="C61" s="28"/>
    </row>
    <row r="62" ht="12.75" customHeight="1">
      <c r="B62" s="28"/>
      <c r="C62" s="28"/>
    </row>
    <row r="63" ht="12.75" customHeight="1">
      <c r="B63" s="28"/>
      <c r="C63" s="28"/>
    </row>
    <row r="64" ht="12.75" customHeight="1">
      <c r="B64" s="28"/>
      <c r="C64" s="28"/>
    </row>
    <row r="65" ht="12.75" customHeight="1">
      <c r="B65" s="28"/>
      <c r="C65" s="28"/>
    </row>
    <row r="66" ht="12.75" customHeight="1">
      <c r="B66" s="28"/>
      <c r="C66" s="28"/>
    </row>
    <row r="67" ht="12.75" customHeight="1">
      <c r="B67" s="28"/>
      <c r="C67" s="28"/>
    </row>
    <row r="68" ht="12.75" customHeight="1">
      <c r="B68" s="28"/>
      <c r="C68" s="28"/>
    </row>
    <row r="69" ht="12.75" customHeight="1">
      <c r="B69" s="28"/>
      <c r="C69" s="28"/>
    </row>
    <row r="70" ht="12.75" customHeight="1">
      <c r="B70" s="28"/>
      <c r="C70" s="28"/>
    </row>
    <row r="71" ht="12.75" customHeight="1">
      <c r="B71" s="28"/>
      <c r="C71" s="28"/>
    </row>
    <row r="72" ht="12.75" customHeight="1">
      <c r="B72" s="28"/>
      <c r="C72" s="28"/>
    </row>
    <row r="73" ht="12.75" customHeight="1">
      <c r="B73" s="28"/>
      <c r="C73" s="28"/>
    </row>
    <row r="74" ht="12.75" customHeight="1">
      <c r="B74" s="28"/>
      <c r="C74" s="28"/>
    </row>
    <row r="75" ht="12.75" customHeight="1">
      <c r="B75" s="28"/>
      <c r="C75" s="28"/>
    </row>
    <row r="76" ht="12.75" customHeight="1">
      <c r="B76" s="28"/>
      <c r="C76" s="28"/>
    </row>
    <row r="77" ht="12.75" customHeight="1">
      <c r="B77" s="28"/>
      <c r="C77" s="28"/>
    </row>
    <row r="78" ht="12.75" customHeight="1">
      <c r="B78" s="28"/>
      <c r="C78" s="28"/>
    </row>
    <row r="79" ht="12.75" customHeight="1">
      <c r="B79" s="28"/>
      <c r="C79" s="28"/>
    </row>
    <row r="80" ht="12.75" customHeight="1">
      <c r="B80" s="28"/>
      <c r="C80" s="28"/>
    </row>
    <row r="81" ht="12.75" customHeight="1">
      <c r="B81" s="28"/>
      <c r="C81" s="28"/>
    </row>
    <row r="82" ht="12.75" customHeight="1">
      <c r="B82" s="28"/>
      <c r="C82" s="28"/>
    </row>
    <row r="83" ht="12.75" customHeight="1">
      <c r="B83" s="28"/>
      <c r="C83" s="28"/>
    </row>
    <row r="84" ht="12.75" customHeight="1">
      <c r="B84" s="28"/>
      <c r="C84" s="28"/>
    </row>
    <row r="85" ht="12.75" customHeight="1">
      <c r="B85" s="28"/>
      <c r="C85" s="28"/>
    </row>
    <row r="86" ht="12.75" customHeight="1">
      <c r="B86" s="28"/>
      <c r="C86" s="28"/>
    </row>
    <row r="87" ht="12.75" customHeight="1">
      <c r="B87" s="28"/>
      <c r="C87" s="28"/>
    </row>
    <row r="88" ht="12.75" customHeight="1">
      <c r="B88" s="28"/>
      <c r="C88" s="28"/>
    </row>
    <row r="89" ht="12.75" customHeight="1">
      <c r="B89" s="28"/>
      <c r="C89" s="28"/>
    </row>
    <row r="90" ht="12.75" customHeight="1">
      <c r="B90" s="28"/>
      <c r="C90" s="28"/>
    </row>
    <row r="91" ht="12.75" customHeight="1">
      <c r="B91" s="28"/>
      <c r="C91" s="28"/>
    </row>
    <row r="92" ht="12.75" customHeight="1">
      <c r="B92" s="28"/>
      <c r="C92" s="28"/>
    </row>
    <row r="93" ht="12.75" customHeight="1">
      <c r="B93" s="28"/>
      <c r="C93" s="28"/>
    </row>
    <row r="94" ht="12.75" customHeight="1">
      <c r="B94" s="28"/>
      <c r="C94" s="28"/>
    </row>
    <row r="95" ht="12.75" customHeight="1">
      <c r="B95" s="28"/>
      <c r="C95" s="28"/>
    </row>
    <row r="96" ht="12.75" customHeight="1">
      <c r="B96" s="28"/>
      <c r="C96" s="28"/>
    </row>
    <row r="97" ht="12.75" customHeight="1">
      <c r="B97" s="28"/>
      <c r="C97" s="28"/>
    </row>
    <row r="98" ht="12.75" customHeight="1">
      <c r="B98" s="28"/>
      <c r="C98" s="28"/>
    </row>
    <row r="99" ht="12.75" customHeight="1">
      <c r="B99" s="28"/>
      <c r="C99" s="28"/>
    </row>
    <row r="100" ht="12.75" customHeight="1">
      <c r="B100" s="28"/>
      <c r="C100" s="28"/>
    </row>
    <row r="101" ht="12.75" customHeight="1">
      <c r="B101" s="28"/>
      <c r="C101" s="28"/>
    </row>
    <row r="102" ht="12.75" customHeight="1">
      <c r="B102" s="28"/>
      <c r="C102" s="28"/>
    </row>
    <row r="103" ht="12.75" customHeight="1">
      <c r="B103" s="28"/>
      <c r="C103" s="28"/>
    </row>
    <row r="104" ht="12.75" customHeight="1">
      <c r="B104" s="28"/>
      <c r="C104" s="28"/>
    </row>
    <row r="105" ht="12.75" customHeight="1">
      <c r="B105" s="28"/>
      <c r="C105" s="28"/>
    </row>
    <row r="106" ht="12.75" customHeight="1">
      <c r="B106" s="28"/>
      <c r="C106" s="28"/>
    </row>
    <row r="107" ht="12.75" customHeight="1">
      <c r="B107" s="28"/>
      <c r="C107" s="28"/>
    </row>
    <row r="108" ht="12.75" customHeight="1">
      <c r="B108" s="28"/>
      <c r="C108" s="28"/>
    </row>
    <row r="109" ht="12.75" customHeight="1">
      <c r="B109" s="28"/>
      <c r="C109" s="28"/>
    </row>
    <row r="110" ht="12.75" customHeight="1">
      <c r="B110" s="28"/>
      <c r="C110" s="28"/>
    </row>
    <row r="111" ht="12.75" customHeight="1">
      <c r="B111" s="28"/>
      <c r="C111" s="28"/>
    </row>
    <row r="112" ht="12.75" customHeight="1">
      <c r="B112" s="28"/>
      <c r="C112" s="28"/>
    </row>
    <row r="113" ht="12.75" customHeight="1">
      <c r="B113" s="28"/>
      <c r="C113" s="28"/>
    </row>
    <row r="114" ht="12.75" customHeight="1">
      <c r="B114" s="28"/>
      <c r="C114" s="28"/>
    </row>
    <row r="115" ht="12.75" customHeight="1">
      <c r="B115" s="28"/>
      <c r="C115" s="28"/>
    </row>
    <row r="116" ht="12.75" customHeight="1">
      <c r="B116" s="28"/>
      <c r="C116" s="28"/>
    </row>
    <row r="117" ht="12.75" customHeight="1">
      <c r="B117" s="28"/>
      <c r="C117" s="28"/>
    </row>
    <row r="118" ht="12.75" customHeight="1">
      <c r="B118" s="28"/>
      <c r="C118" s="28"/>
    </row>
    <row r="119" ht="12.75" customHeight="1">
      <c r="B119" s="28"/>
      <c r="C119" s="28"/>
    </row>
    <row r="120" ht="12.75" customHeight="1">
      <c r="B120" s="28"/>
      <c r="C120" s="28"/>
    </row>
    <row r="121" ht="12.75" customHeight="1">
      <c r="B121" s="28"/>
      <c r="C121" s="28"/>
    </row>
    <row r="122" ht="12.75" customHeight="1">
      <c r="B122" s="28"/>
      <c r="C122" s="28"/>
    </row>
    <row r="123" ht="12.75" customHeight="1">
      <c r="B123" s="28"/>
      <c r="C123" s="28"/>
    </row>
    <row r="124" ht="12.75" customHeight="1">
      <c r="B124" s="28"/>
      <c r="C124" s="28"/>
    </row>
    <row r="125" ht="12.75" customHeight="1">
      <c r="B125" s="28"/>
      <c r="C125" s="28"/>
    </row>
    <row r="126" ht="12.75" customHeight="1">
      <c r="B126" s="28"/>
      <c r="C126" s="28"/>
    </row>
    <row r="127" ht="12.75" customHeight="1">
      <c r="B127" s="28"/>
      <c r="C127" s="28"/>
    </row>
    <row r="128" ht="12.75" customHeight="1">
      <c r="B128" s="28"/>
      <c r="C128" s="28"/>
    </row>
    <row r="129" ht="12.75" customHeight="1">
      <c r="B129" s="28"/>
      <c r="C129" s="28"/>
    </row>
    <row r="130" ht="12.75" customHeight="1">
      <c r="B130" s="28"/>
      <c r="C130" s="28"/>
    </row>
    <row r="131" ht="12.75" customHeight="1">
      <c r="B131" s="28"/>
      <c r="C131" s="28"/>
    </row>
    <row r="132" ht="12.75" customHeight="1">
      <c r="B132" s="28"/>
      <c r="C132" s="28"/>
    </row>
    <row r="133" ht="12.75" customHeight="1">
      <c r="B133" s="28"/>
      <c r="C133" s="28"/>
    </row>
    <row r="134" ht="12.75" customHeight="1">
      <c r="B134" s="28"/>
      <c r="C134" s="28"/>
    </row>
    <row r="135" ht="12.75" customHeight="1">
      <c r="B135" s="28"/>
      <c r="C135" s="28"/>
    </row>
    <row r="136" ht="12.75" customHeight="1">
      <c r="B136" s="28"/>
      <c r="C136" s="28"/>
    </row>
    <row r="137" ht="12.75" customHeight="1">
      <c r="B137" s="28"/>
      <c r="C137" s="28"/>
    </row>
    <row r="138" ht="12.75" customHeight="1">
      <c r="B138" s="28"/>
      <c r="C138" s="28"/>
    </row>
    <row r="139" ht="12.75" customHeight="1">
      <c r="B139" s="28"/>
      <c r="C139" s="28"/>
    </row>
    <row r="140" ht="12.75" customHeight="1">
      <c r="B140" s="28"/>
      <c r="C140" s="28"/>
    </row>
    <row r="141" ht="12.75" customHeight="1">
      <c r="B141" s="28"/>
      <c r="C141" s="28"/>
    </row>
    <row r="142" ht="12.75" customHeight="1">
      <c r="B142" s="28"/>
      <c r="C142" s="28"/>
    </row>
    <row r="143" ht="12.75" customHeight="1">
      <c r="B143" s="28"/>
      <c r="C143" s="28"/>
    </row>
    <row r="144" ht="12.75" customHeight="1">
      <c r="B144" s="28"/>
      <c r="C144" s="28"/>
    </row>
    <row r="145" ht="12.75" customHeight="1">
      <c r="B145" s="28"/>
      <c r="C145" s="28"/>
    </row>
    <row r="146" ht="12.75" customHeight="1">
      <c r="B146" s="28"/>
      <c r="C146" s="28"/>
    </row>
    <row r="147" ht="12.75" customHeight="1">
      <c r="B147" s="28"/>
      <c r="C147" s="28"/>
    </row>
    <row r="148" ht="12.75" customHeight="1">
      <c r="B148" s="28"/>
      <c r="C148" s="28"/>
    </row>
    <row r="149" ht="12.75" customHeight="1">
      <c r="B149" s="28"/>
      <c r="C149" s="28"/>
    </row>
    <row r="150" ht="12.75" customHeight="1">
      <c r="B150" s="28"/>
      <c r="C150" s="28"/>
    </row>
    <row r="151" ht="12.75" customHeight="1">
      <c r="B151" s="28"/>
      <c r="C151" s="28"/>
    </row>
    <row r="152" ht="12.75" customHeight="1">
      <c r="B152" s="28"/>
      <c r="C152" s="28"/>
    </row>
    <row r="153" ht="12.75" customHeight="1">
      <c r="B153" s="28"/>
      <c r="C153" s="28"/>
    </row>
    <row r="154" ht="12.75" customHeight="1">
      <c r="B154" s="28"/>
      <c r="C154" s="28"/>
    </row>
    <row r="155" ht="12.75" customHeight="1">
      <c r="B155" s="28"/>
      <c r="C155" s="28"/>
    </row>
    <row r="156" ht="12.75" customHeight="1">
      <c r="B156" s="28"/>
      <c r="C156" s="28"/>
    </row>
    <row r="157" ht="12.75" customHeight="1">
      <c r="B157" s="28"/>
      <c r="C157" s="28"/>
    </row>
    <row r="158" ht="12.75" customHeight="1">
      <c r="B158" s="28"/>
      <c r="C158" s="28"/>
    </row>
    <row r="159" ht="12.75" customHeight="1">
      <c r="B159" s="28"/>
      <c r="C159" s="28"/>
    </row>
    <row r="160" ht="12.75" customHeight="1">
      <c r="B160" s="28"/>
      <c r="C160" s="28"/>
    </row>
    <row r="161" ht="12.75" customHeight="1">
      <c r="B161" s="28"/>
      <c r="C161" s="28"/>
    </row>
    <row r="162" ht="12.75" customHeight="1">
      <c r="B162" s="28"/>
      <c r="C162" s="28"/>
    </row>
    <row r="163" ht="12.75" customHeight="1">
      <c r="B163" s="28"/>
      <c r="C163" s="28"/>
    </row>
    <row r="164" ht="12.75" customHeight="1">
      <c r="B164" s="28"/>
      <c r="C164" s="28"/>
    </row>
    <row r="165" ht="12.75" customHeight="1">
      <c r="B165" s="28"/>
      <c r="C165" s="28"/>
    </row>
    <row r="166" ht="12.75" customHeight="1">
      <c r="B166" s="28"/>
      <c r="C166" s="28"/>
    </row>
    <row r="167" ht="12.75" customHeight="1">
      <c r="B167" s="28"/>
      <c r="C167" s="28"/>
    </row>
    <row r="168" ht="12.75" customHeight="1">
      <c r="B168" s="28"/>
      <c r="C168" s="28"/>
    </row>
    <row r="169" ht="12.75" customHeight="1">
      <c r="B169" s="28"/>
      <c r="C169" s="28"/>
    </row>
    <row r="170" ht="12.75" customHeight="1">
      <c r="B170" s="28"/>
      <c r="C170" s="28"/>
    </row>
    <row r="171" ht="12.75" customHeight="1">
      <c r="B171" s="28"/>
      <c r="C171" s="28"/>
    </row>
    <row r="172" ht="12.75" customHeight="1">
      <c r="B172" s="28"/>
      <c r="C172" s="28"/>
    </row>
    <row r="173" ht="12.75" customHeight="1">
      <c r="B173" s="28"/>
      <c r="C173" s="28"/>
    </row>
    <row r="174" ht="12.75" customHeight="1">
      <c r="B174" s="28"/>
      <c r="C174" s="28"/>
    </row>
    <row r="175" ht="12.75" customHeight="1">
      <c r="B175" s="28"/>
      <c r="C175" s="28"/>
    </row>
    <row r="176" ht="12.75" customHeight="1">
      <c r="B176" s="28"/>
      <c r="C176" s="28"/>
    </row>
    <row r="177" ht="12.75" customHeight="1">
      <c r="B177" s="28"/>
      <c r="C177" s="28"/>
    </row>
    <row r="178" ht="12.75" customHeight="1">
      <c r="B178" s="28"/>
      <c r="C178" s="28"/>
    </row>
    <row r="179" ht="12.75" customHeight="1">
      <c r="B179" s="28"/>
      <c r="C179" s="28"/>
    </row>
    <row r="180" ht="12.75" customHeight="1">
      <c r="B180" s="28"/>
      <c r="C180" s="28"/>
    </row>
    <row r="181" ht="12.75" customHeight="1">
      <c r="B181" s="28"/>
      <c r="C181" s="28"/>
    </row>
    <row r="182" ht="12.75" customHeight="1">
      <c r="B182" s="28"/>
      <c r="C182" s="28"/>
    </row>
    <row r="183" ht="12.75" customHeight="1">
      <c r="B183" s="28"/>
      <c r="C183" s="28"/>
    </row>
    <row r="184" ht="12.75" customHeight="1">
      <c r="B184" s="28"/>
      <c r="C184" s="28"/>
    </row>
    <row r="185" ht="12.75" customHeight="1">
      <c r="B185" s="28"/>
      <c r="C185" s="28"/>
    </row>
    <row r="186" ht="12.75" customHeight="1">
      <c r="B186" s="28"/>
      <c r="C186" s="28"/>
    </row>
    <row r="187" ht="12.75" customHeight="1">
      <c r="B187" s="28"/>
      <c r="C187" s="28"/>
    </row>
    <row r="188" ht="12.75" customHeight="1">
      <c r="B188" s="28"/>
      <c r="C188" s="28"/>
    </row>
    <row r="189" ht="12.75" customHeight="1">
      <c r="B189" s="28"/>
      <c r="C189" s="28"/>
    </row>
    <row r="190" ht="12.75" customHeight="1">
      <c r="B190" s="28"/>
      <c r="C190" s="28"/>
    </row>
    <row r="191" ht="12.75" customHeight="1">
      <c r="B191" s="28"/>
      <c r="C191" s="28"/>
    </row>
    <row r="192" ht="12.75" customHeight="1">
      <c r="B192" s="28"/>
      <c r="C192" s="28"/>
    </row>
    <row r="193" ht="12.75" customHeight="1">
      <c r="B193" s="28"/>
      <c r="C193" s="28"/>
    </row>
    <row r="194" ht="12.75" customHeight="1">
      <c r="B194" s="28"/>
      <c r="C194" s="28"/>
    </row>
    <row r="195" ht="12.75" customHeight="1">
      <c r="B195" s="28"/>
      <c r="C195" s="28"/>
    </row>
    <row r="196" ht="12.75" customHeight="1">
      <c r="B196" s="28"/>
      <c r="C196" s="28"/>
    </row>
    <row r="197" ht="12.75" customHeight="1">
      <c r="B197" s="28"/>
      <c r="C197" s="28"/>
    </row>
    <row r="198" ht="12.75" customHeight="1">
      <c r="B198" s="28"/>
      <c r="C198" s="28"/>
    </row>
    <row r="199" ht="12.75" customHeight="1">
      <c r="B199" s="28"/>
      <c r="C199" s="28"/>
    </row>
    <row r="200" ht="12.75" customHeight="1">
      <c r="B200" s="28"/>
      <c r="C200" s="28"/>
    </row>
    <row r="201" ht="12.75" customHeight="1">
      <c r="B201" s="28"/>
      <c r="C201" s="28"/>
    </row>
    <row r="202" ht="12.75" customHeight="1">
      <c r="B202" s="28"/>
      <c r="C202" s="28"/>
    </row>
    <row r="203" ht="12.75" customHeight="1">
      <c r="B203" s="28"/>
      <c r="C203" s="28"/>
    </row>
    <row r="204" ht="12.75" customHeight="1">
      <c r="B204" s="28"/>
      <c r="C204" s="28"/>
    </row>
    <row r="205" ht="12.75" customHeight="1">
      <c r="B205" s="28"/>
      <c r="C205" s="28"/>
    </row>
    <row r="206" ht="12.75" customHeight="1">
      <c r="B206" s="28"/>
      <c r="C206" s="28"/>
    </row>
    <row r="207" ht="12.75" customHeight="1">
      <c r="B207" s="28"/>
      <c r="C207" s="28"/>
    </row>
    <row r="208" ht="12.75" customHeight="1">
      <c r="B208" s="28"/>
      <c r="C208" s="28"/>
    </row>
    <row r="209" ht="12.75" customHeight="1">
      <c r="B209" s="28"/>
      <c r="C209" s="28"/>
    </row>
    <row r="210" ht="12.75" customHeight="1">
      <c r="B210" s="28"/>
      <c r="C210" s="28"/>
    </row>
    <row r="211" ht="12.75" customHeight="1">
      <c r="B211" s="28"/>
      <c r="C211" s="28"/>
    </row>
    <row r="212" ht="12.75" customHeight="1">
      <c r="B212" s="28"/>
      <c r="C212" s="28"/>
    </row>
    <row r="213" ht="12.75" customHeight="1">
      <c r="B213" s="28"/>
      <c r="C213" s="28"/>
    </row>
    <row r="214" ht="12.75" customHeight="1">
      <c r="B214" s="28"/>
      <c r="C214" s="28"/>
    </row>
    <row r="215" ht="12.75" customHeight="1">
      <c r="B215" s="28"/>
      <c r="C215" s="28"/>
    </row>
    <row r="216" ht="12.75" customHeight="1">
      <c r="B216" s="28"/>
      <c r="C216" s="28"/>
    </row>
    <row r="217" ht="12.75" customHeight="1">
      <c r="B217" s="28"/>
      <c r="C217" s="28"/>
    </row>
    <row r="218" ht="12.75" customHeight="1">
      <c r="B218" s="28"/>
      <c r="C218" s="28"/>
    </row>
    <row r="219" ht="12.75" customHeight="1">
      <c r="B219" s="28"/>
      <c r="C219" s="28"/>
    </row>
    <row r="220" ht="12.75" customHeight="1">
      <c r="B220" s="28"/>
      <c r="C220" s="28"/>
    </row>
    <row r="221" ht="12.75" customHeight="1">
      <c r="B221" s="28"/>
      <c r="C221" s="28"/>
    </row>
    <row r="222" ht="12.75" customHeight="1">
      <c r="B222" s="28"/>
      <c r="C222" s="28"/>
    </row>
    <row r="223" ht="12.75" customHeight="1">
      <c r="B223" s="28"/>
      <c r="C223" s="28"/>
    </row>
    <row r="224" ht="12.75" customHeight="1">
      <c r="B224" s="28"/>
      <c r="C224" s="28"/>
    </row>
    <row r="225" ht="12.75" customHeight="1">
      <c r="B225" s="28"/>
      <c r="C225" s="28"/>
    </row>
    <row r="226" ht="12.75" customHeight="1">
      <c r="B226" s="28"/>
      <c r="C226" s="28"/>
    </row>
    <row r="227" ht="12.75" customHeight="1">
      <c r="B227" s="28"/>
      <c r="C227" s="28"/>
    </row>
    <row r="228" ht="12.75" customHeight="1">
      <c r="B228" s="28"/>
      <c r="C228" s="28"/>
    </row>
    <row r="229" ht="12.75" customHeight="1">
      <c r="B229" s="28"/>
      <c r="C229" s="28"/>
    </row>
    <row r="230" ht="12.75" customHeight="1">
      <c r="B230" s="28"/>
      <c r="C230" s="28"/>
    </row>
    <row r="231" ht="12.75" customHeight="1">
      <c r="B231" s="28"/>
      <c r="C231" s="28"/>
    </row>
    <row r="232" ht="12.75" customHeight="1">
      <c r="B232" s="28"/>
      <c r="C232" s="28"/>
    </row>
    <row r="233" ht="12.75" customHeight="1">
      <c r="B233" s="28"/>
      <c r="C233" s="28"/>
    </row>
    <row r="234" ht="12.75" customHeight="1">
      <c r="B234" s="28"/>
      <c r="C234" s="28"/>
    </row>
    <row r="235" ht="12.75" customHeight="1">
      <c r="B235" s="28"/>
      <c r="C235" s="28"/>
    </row>
    <row r="236" ht="12.75" customHeight="1">
      <c r="B236" s="28"/>
      <c r="C236" s="28"/>
    </row>
    <row r="237" ht="12.75" customHeight="1">
      <c r="B237" s="28"/>
      <c r="C237" s="28"/>
    </row>
    <row r="238" ht="12.75" customHeight="1">
      <c r="B238" s="28"/>
      <c r="C238" s="28"/>
    </row>
    <row r="239" ht="12.75" customHeight="1">
      <c r="B239" s="28"/>
      <c r="C239" s="28"/>
    </row>
    <row r="240" ht="12.75" customHeight="1">
      <c r="B240" s="28"/>
      <c r="C240" s="28"/>
    </row>
    <row r="241" ht="12.75" customHeight="1">
      <c r="B241" s="28"/>
      <c r="C241" s="28"/>
    </row>
    <row r="242" ht="12.75" customHeight="1">
      <c r="B242" s="28"/>
      <c r="C242" s="28"/>
    </row>
    <row r="243" ht="12.75" customHeight="1">
      <c r="B243" s="28"/>
      <c r="C243" s="28"/>
    </row>
    <row r="244" ht="12.75" customHeight="1">
      <c r="B244" s="28"/>
      <c r="C244" s="28"/>
    </row>
    <row r="245" ht="12.75" customHeight="1">
      <c r="B245" s="28"/>
      <c r="C245" s="28"/>
    </row>
    <row r="246" ht="12.75" customHeight="1">
      <c r="B246" s="28"/>
      <c r="C246" s="28"/>
    </row>
    <row r="247" ht="12.75" customHeight="1">
      <c r="B247" s="28"/>
      <c r="C247" s="28"/>
    </row>
    <row r="248" ht="12.75" customHeight="1">
      <c r="B248" s="28"/>
      <c r="C248" s="28"/>
    </row>
    <row r="249" ht="12.75" customHeight="1">
      <c r="B249" s="28"/>
      <c r="C249" s="28"/>
    </row>
    <row r="250" ht="12.75" customHeight="1">
      <c r="B250" s="28"/>
      <c r="C250" s="28"/>
    </row>
    <row r="251" ht="12.75" customHeight="1">
      <c r="B251" s="28"/>
      <c r="C251" s="28"/>
    </row>
    <row r="252" ht="12.75" customHeight="1">
      <c r="B252" s="28"/>
      <c r="C252" s="28"/>
    </row>
    <row r="253" ht="12.75" customHeight="1">
      <c r="B253" s="28"/>
      <c r="C253" s="28"/>
    </row>
    <row r="254" ht="12.75" customHeight="1">
      <c r="B254" s="28"/>
      <c r="C254" s="28"/>
    </row>
    <row r="255" ht="12.75" customHeight="1">
      <c r="B255" s="28"/>
      <c r="C255" s="28"/>
    </row>
    <row r="256" ht="12.75" customHeight="1">
      <c r="B256" s="28"/>
      <c r="C256" s="28"/>
    </row>
    <row r="257" ht="12.75" customHeight="1">
      <c r="B257" s="28"/>
      <c r="C257" s="28"/>
    </row>
    <row r="258" ht="12.75" customHeight="1">
      <c r="B258" s="28"/>
      <c r="C258" s="28"/>
    </row>
    <row r="259" ht="12.75" customHeight="1">
      <c r="B259" s="28"/>
      <c r="C259" s="28"/>
    </row>
    <row r="260" ht="12.75" customHeight="1">
      <c r="B260" s="28"/>
      <c r="C260" s="28"/>
    </row>
    <row r="261" ht="12.75" customHeight="1">
      <c r="B261" s="28"/>
      <c r="C261" s="28"/>
    </row>
    <row r="262" ht="12.75" customHeight="1">
      <c r="B262" s="28"/>
      <c r="C262" s="28"/>
    </row>
    <row r="263" ht="12.75" customHeight="1">
      <c r="B263" s="28"/>
      <c r="C263" s="28"/>
    </row>
    <row r="264" ht="12.75" customHeight="1">
      <c r="B264" s="28"/>
      <c r="C264" s="28"/>
    </row>
    <row r="265" ht="12.75" customHeight="1">
      <c r="B265" s="28"/>
      <c r="C265" s="28"/>
    </row>
    <row r="266" ht="12.75" customHeight="1">
      <c r="B266" s="28"/>
      <c r="C266" s="28"/>
    </row>
    <row r="267" ht="12.75" customHeight="1">
      <c r="B267" s="28"/>
      <c r="C267" s="28"/>
    </row>
    <row r="268" ht="12.75" customHeight="1">
      <c r="B268" s="28"/>
      <c r="C268" s="28"/>
    </row>
    <row r="269" ht="12.75" customHeight="1">
      <c r="B269" s="28"/>
      <c r="C269" s="28"/>
    </row>
    <row r="270" ht="12.75" customHeight="1">
      <c r="B270" s="28"/>
      <c r="C270" s="28"/>
    </row>
    <row r="271" ht="12.75" customHeight="1">
      <c r="B271" s="28"/>
      <c r="C271" s="28"/>
    </row>
    <row r="272" ht="12.75" customHeight="1">
      <c r="B272" s="28"/>
      <c r="C272" s="28"/>
    </row>
    <row r="273" ht="12.75" customHeight="1">
      <c r="B273" s="28"/>
      <c r="C273" s="28"/>
    </row>
    <row r="274" ht="12.75" customHeight="1">
      <c r="B274" s="28"/>
      <c r="C274" s="28"/>
    </row>
    <row r="275" ht="12.75" customHeight="1">
      <c r="B275" s="28"/>
      <c r="C275" s="28"/>
    </row>
    <row r="276" ht="12.75" customHeight="1">
      <c r="B276" s="28"/>
      <c r="C276" s="28"/>
    </row>
    <row r="277" ht="12.75" customHeight="1">
      <c r="B277" s="28"/>
      <c r="C277" s="28"/>
    </row>
    <row r="278" ht="12.75" customHeight="1">
      <c r="B278" s="28"/>
      <c r="C278" s="28"/>
    </row>
    <row r="279" ht="12.75" customHeight="1">
      <c r="B279" s="28"/>
      <c r="C279" s="28"/>
    </row>
    <row r="280" ht="12.75" customHeight="1">
      <c r="B280" s="28"/>
      <c r="C280" s="28"/>
    </row>
    <row r="281" ht="12.75" customHeight="1">
      <c r="B281" s="28"/>
      <c r="C281" s="28"/>
    </row>
    <row r="282" ht="12.75" customHeight="1">
      <c r="B282" s="28"/>
      <c r="C282" s="28"/>
    </row>
    <row r="283" ht="12.75" customHeight="1">
      <c r="B283" s="28"/>
      <c r="C283" s="28"/>
    </row>
    <row r="284" ht="12.75" customHeight="1">
      <c r="B284" s="28"/>
      <c r="C284" s="28"/>
    </row>
    <row r="285" ht="12.75" customHeight="1">
      <c r="B285" s="28"/>
      <c r="C285" s="28"/>
    </row>
    <row r="286" ht="12.75" customHeight="1">
      <c r="B286" s="28"/>
      <c r="C286" s="28"/>
    </row>
    <row r="287" ht="12.75" customHeight="1">
      <c r="B287" s="28"/>
      <c r="C287" s="28"/>
    </row>
    <row r="288" ht="12.75" customHeight="1">
      <c r="B288" s="28"/>
      <c r="C288" s="28"/>
    </row>
    <row r="289" ht="12.75" customHeight="1">
      <c r="B289" s="28"/>
      <c r="C289" s="28"/>
    </row>
    <row r="290" ht="12.75" customHeight="1">
      <c r="B290" s="28"/>
      <c r="C290" s="28"/>
    </row>
    <row r="291" ht="12.75" customHeight="1">
      <c r="B291" s="28"/>
      <c r="C291" s="28"/>
    </row>
    <row r="292" ht="12.75" customHeight="1">
      <c r="B292" s="28"/>
      <c r="C292" s="28"/>
    </row>
    <row r="293" ht="12.75" customHeight="1">
      <c r="B293" s="28"/>
      <c r="C293" s="28"/>
    </row>
    <row r="294" ht="12.75" customHeight="1">
      <c r="B294" s="28"/>
      <c r="C294" s="28"/>
    </row>
    <row r="295" ht="12.75" customHeight="1">
      <c r="B295" s="28"/>
      <c r="C295" s="28"/>
    </row>
    <row r="296" ht="12.75" customHeight="1">
      <c r="B296" s="28"/>
      <c r="C296" s="28"/>
    </row>
    <row r="297" ht="12.75" customHeight="1">
      <c r="B297" s="28"/>
      <c r="C297" s="28"/>
    </row>
    <row r="298" ht="12.75" customHeight="1">
      <c r="B298" s="28"/>
      <c r="C298" s="28"/>
    </row>
    <row r="299" ht="12.75" customHeight="1">
      <c r="B299" s="28"/>
      <c r="C299" s="28"/>
    </row>
    <row r="300" ht="12.75" customHeight="1">
      <c r="B300" s="28"/>
      <c r="C300" s="28"/>
    </row>
    <row r="301" ht="12.75" customHeight="1">
      <c r="B301" s="28"/>
      <c r="C301" s="28"/>
    </row>
    <row r="302" ht="12.75" customHeight="1">
      <c r="B302" s="28"/>
      <c r="C302" s="28"/>
    </row>
    <row r="303" ht="12.75" customHeight="1">
      <c r="B303" s="28"/>
      <c r="C303" s="28"/>
    </row>
    <row r="304" ht="12.75" customHeight="1">
      <c r="B304" s="28"/>
      <c r="C304" s="28"/>
    </row>
    <row r="305" ht="12.75" customHeight="1">
      <c r="B305" s="28"/>
      <c r="C305" s="28"/>
    </row>
    <row r="306" ht="12.75" customHeight="1">
      <c r="B306" s="28"/>
      <c r="C306" s="28"/>
    </row>
    <row r="307" ht="12.75" customHeight="1">
      <c r="B307" s="28"/>
      <c r="C307" s="28"/>
    </row>
    <row r="308" ht="12.75" customHeight="1">
      <c r="B308" s="28"/>
      <c r="C308" s="28"/>
    </row>
    <row r="309" ht="12.75" customHeight="1">
      <c r="B309" s="28"/>
      <c r="C309" s="28"/>
    </row>
    <row r="310" ht="12.75" customHeight="1">
      <c r="B310" s="28"/>
      <c r="C310" s="28"/>
    </row>
    <row r="311" ht="12.75" customHeight="1">
      <c r="B311" s="28"/>
      <c r="C311" s="28"/>
    </row>
    <row r="312" ht="12.75" customHeight="1">
      <c r="B312" s="28"/>
      <c r="C312" s="28"/>
    </row>
    <row r="313" ht="12.75" customHeight="1">
      <c r="B313" s="28"/>
      <c r="C313" s="28"/>
    </row>
    <row r="314" ht="12.75" customHeight="1">
      <c r="B314" s="28"/>
      <c r="C314" s="28"/>
    </row>
    <row r="315" ht="12.75" customHeight="1">
      <c r="B315" s="28"/>
      <c r="C315" s="28"/>
    </row>
    <row r="316" ht="12.75" customHeight="1">
      <c r="B316" s="28"/>
      <c r="C316" s="28"/>
    </row>
    <row r="317" ht="12.75" customHeight="1">
      <c r="B317" s="28"/>
      <c r="C317" s="28"/>
    </row>
    <row r="318" ht="12.75" customHeight="1">
      <c r="B318" s="28"/>
      <c r="C318" s="28"/>
    </row>
    <row r="319" ht="12.75" customHeight="1">
      <c r="B319" s="28"/>
      <c r="C319" s="28"/>
    </row>
    <row r="320" ht="12.75" customHeight="1">
      <c r="B320" s="28"/>
      <c r="C320" s="28"/>
    </row>
    <row r="321" ht="12.75" customHeight="1">
      <c r="B321" s="28"/>
      <c r="C321" s="28"/>
    </row>
    <row r="322" ht="12.75" customHeight="1">
      <c r="B322" s="28"/>
      <c r="C322" s="28"/>
    </row>
    <row r="323" ht="12.75" customHeight="1">
      <c r="B323" s="28"/>
      <c r="C323" s="28"/>
    </row>
    <row r="324" ht="12.75" customHeight="1">
      <c r="B324" s="28"/>
      <c r="C324" s="28"/>
    </row>
    <row r="325" ht="12.75" customHeight="1">
      <c r="B325" s="28"/>
      <c r="C325" s="28"/>
    </row>
    <row r="326" ht="12.75" customHeight="1">
      <c r="B326" s="28"/>
      <c r="C326" s="28"/>
    </row>
    <row r="327" ht="12.75" customHeight="1">
      <c r="B327" s="28"/>
      <c r="C327" s="28"/>
    </row>
    <row r="328" ht="12.75" customHeight="1">
      <c r="B328" s="28"/>
      <c r="C328" s="28"/>
    </row>
    <row r="329" ht="12.75" customHeight="1">
      <c r="B329" s="28"/>
      <c r="C329" s="28"/>
    </row>
    <row r="330" ht="12.75" customHeight="1">
      <c r="B330" s="28"/>
      <c r="C330" s="28"/>
    </row>
    <row r="331" ht="12.75" customHeight="1">
      <c r="B331" s="28"/>
      <c r="C331" s="28"/>
    </row>
    <row r="332" ht="12.75" customHeight="1">
      <c r="B332" s="28"/>
      <c r="C332" s="28"/>
    </row>
    <row r="333" ht="12.75" customHeight="1">
      <c r="B333" s="28"/>
      <c r="C333" s="28"/>
    </row>
    <row r="334" ht="12.75" customHeight="1">
      <c r="B334" s="28"/>
      <c r="C334" s="28"/>
    </row>
    <row r="335" ht="12.75" customHeight="1">
      <c r="B335" s="28"/>
      <c r="C335" s="28"/>
    </row>
    <row r="336" ht="12.75" customHeight="1">
      <c r="B336" s="28"/>
      <c r="C336" s="28"/>
    </row>
    <row r="337" ht="12.75" customHeight="1">
      <c r="B337" s="28"/>
      <c r="C337" s="28"/>
    </row>
    <row r="338" ht="12.75" customHeight="1">
      <c r="B338" s="28"/>
      <c r="C338" s="28"/>
    </row>
    <row r="339" ht="12.75" customHeight="1">
      <c r="B339" s="28"/>
      <c r="C339" s="28"/>
    </row>
    <row r="340" ht="12.75" customHeight="1">
      <c r="B340" s="28"/>
      <c r="C340" s="28"/>
    </row>
    <row r="341" ht="12.75" customHeight="1">
      <c r="B341" s="28"/>
      <c r="C341" s="28"/>
    </row>
    <row r="342" ht="12.75" customHeight="1">
      <c r="B342" s="28"/>
      <c r="C342" s="28"/>
    </row>
    <row r="343" ht="12.75" customHeight="1">
      <c r="B343" s="28"/>
      <c r="C343" s="28"/>
    </row>
    <row r="344" ht="12.75" customHeight="1">
      <c r="B344" s="28"/>
      <c r="C344" s="28"/>
    </row>
    <row r="345" ht="12.75" customHeight="1">
      <c r="B345" s="28"/>
      <c r="C345" s="28"/>
    </row>
    <row r="346" ht="12.75" customHeight="1">
      <c r="B346" s="28"/>
      <c r="C346" s="28"/>
    </row>
    <row r="347" ht="12.75" customHeight="1">
      <c r="B347" s="28"/>
      <c r="C347" s="28"/>
    </row>
    <row r="348" ht="12.75" customHeight="1">
      <c r="B348" s="28"/>
      <c r="C348" s="28"/>
    </row>
    <row r="349" ht="12.75" customHeight="1">
      <c r="B349" s="28"/>
      <c r="C349" s="28"/>
    </row>
    <row r="350" ht="12.75" customHeight="1">
      <c r="B350" s="28"/>
      <c r="C350" s="28"/>
    </row>
    <row r="351" ht="12.75" customHeight="1">
      <c r="B351" s="28"/>
      <c r="C351" s="28"/>
    </row>
    <row r="352" ht="12.75" customHeight="1">
      <c r="B352" s="28"/>
      <c r="C352" s="28"/>
    </row>
    <row r="353" ht="12.75" customHeight="1">
      <c r="B353" s="28"/>
      <c r="C353" s="28"/>
    </row>
    <row r="354" ht="12.75" customHeight="1">
      <c r="B354" s="28"/>
      <c r="C354" s="28"/>
    </row>
    <row r="355" ht="12.75" customHeight="1">
      <c r="B355" s="28"/>
      <c r="C355" s="28"/>
    </row>
    <row r="356" ht="12.75" customHeight="1">
      <c r="B356" s="28"/>
      <c r="C356" s="28"/>
    </row>
    <row r="357" ht="12.75" customHeight="1">
      <c r="B357" s="28"/>
      <c r="C357" s="28"/>
    </row>
    <row r="358" ht="12.75" customHeight="1">
      <c r="B358" s="28"/>
      <c r="C358" s="28"/>
    </row>
    <row r="359" ht="12.75" customHeight="1">
      <c r="B359" s="28"/>
      <c r="C359" s="28"/>
    </row>
    <row r="360" ht="12.75" customHeight="1">
      <c r="B360" s="28"/>
      <c r="C360" s="28"/>
    </row>
    <row r="361" ht="12.75" customHeight="1">
      <c r="B361" s="28"/>
      <c r="C361" s="28"/>
    </row>
    <row r="362" ht="12.75" customHeight="1">
      <c r="B362" s="28"/>
      <c r="C362" s="28"/>
    </row>
    <row r="363" ht="12.75" customHeight="1">
      <c r="B363" s="28"/>
      <c r="C363" s="28"/>
    </row>
    <row r="364" ht="12.75" customHeight="1">
      <c r="B364" s="28"/>
      <c r="C364" s="28"/>
    </row>
    <row r="365" ht="12.75" customHeight="1">
      <c r="B365" s="28"/>
      <c r="C365" s="28"/>
    </row>
    <row r="366" ht="12.75" customHeight="1">
      <c r="B366" s="28"/>
      <c r="C366" s="28"/>
    </row>
    <row r="367" ht="12.75" customHeight="1">
      <c r="B367" s="28"/>
      <c r="C367" s="28"/>
    </row>
    <row r="368" ht="12.75" customHeight="1">
      <c r="B368" s="28"/>
      <c r="C368" s="28"/>
    </row>
    <row r="369" ht="12.75" customHeight="1">
      <c r="B369" s="28"/>
      <c r="C369" s="28"/>
    </row>
    <row r="370" ht="12.75" customHeight="1">
      <c r="B370" s="28"/>
      <c r="C370" s="28"/>
    </row>
    <row r="371" ht="12.75" customHeight="1">
      <c r="B371" s="28"/>
      <c r="C371" s="28"/>
    </row>
    <row r="372" ht="12.75" customHeight="1">
      <c r="B372" s="28"/>
      <c r="C372" s="28"/>
    </row>
    <row r="373" ht="12.75" customHeight="1">
      <c r="B373" s="28"/>
      <c r="C373" s="28"/>
    </row>
    <row r="374" ht="12.75" customHeight="1">
      <c r="B374" s="28"/>
      <c r="C374" s="28"/>
    </row>
    <row r="375" ht="12.75" customHeight="1">
      <c r="B375" s="28"/>
      <c r="C375" s="28"/>
    </row>
    <row r="376" ht="12.75" customHeight="1">
      <c r="B376" s="28"/>
      <c r="C376" s="28"/>
    </row>
    <row r="377" ht="12.75" customHeight="1">
      <c r="B377" s="28"/>
      <c r="C377" s="28"/>
    </row>
    <row r="378" ht="12.75" customHeight="1">
      <c r="B378" s="28"/>
      <c r="C378" s="28"/>
    </row>
    <row r="379" ht="12.75" customHeight="1">
      <c r="B379" s="28"/>
      <c r="C379" s="28"/>
    </row>
    <row r="380" ht="12.75" customHeight="1">
      <c r="B380" s="28"/>
      <c r="C380" s="28"/>
    </row>
    <row r="381" ht="12.75" customHeight="1">
      <c r="B381" s="28"/>
      <c r="C381" s="28"/>
    </row>
    <row r="382" ht="12.75" customHeight="1">
      <c r="B382" s="28"/>
      <c r="C382" s="28"/>
    </row>
    <row r="383" ht="12.75" customHeight="1">
      <c r="B383" s="28"/>
      <c r="C383" s="28"/>
    </row>
    <row r="384" ht="12.75" customHeight="1">
      <c r="B384" s="28"/>
      <c r="C384" s="28"/>
    </row>
    <row r="385" ht="12.75" customHeight="1">
      <c r="B385" s="28"/>
      <c r="C385" s="28"/>
    </row>
    <row r="386" ht="12.75" customHeight="1">
      <c r="B386" s="28"/>
      <c r="C386" s="28"/>
    </row>
    <row r="387" ht="12.75" customHeight="1">
      <c r="B387" s="28"/>
      <c r="C387" s="28"/>
    </row>
    <row r="388" ht="12.75" customHeight="1">
      <c r="B388" s="28"/>
      <c r="C388" s="28"/>
    </row>
    <row r="389" ht="12.75" customHeight="1">
      <c r="B389" s="28"/>
      <c r="C389" s="28"/>
    </row>
    <row r="390" ht="12.75" customHeight="1">
      <c r="B390" s="28"/>
      <c r="C390" s="28"/>
    </row>
    <row r="391" ht="12.75" customHeight="1">
      <c r="B391" s="28"/>
      <c r="C391" s="28"/>
    </row>
    <row r="392" ht="12.75" customHeight="1">
      <c r="B392" s="28"/>
      <c r="C392" s="28"/>
    </row>
    <row r="393" ht="12.75" customHeight="1">
      <c r="B393" s="28"/>
      <c r="C393" s="28"/>
    </row>
    <row r="394" ht="12.75" customHeight="1">
      <c r="B394" s="28"/>
      <c r="C394" s="28"/>
    </row>
    <row r="395" ht="12.75" customHeight="1">
      <c r="B395" s="28"/>
      <c r="C395" s="28"/>
    </row>
    <row r="396" ht="12.75" customHeight="1">
      <c r="B396" s="28"/>
      <c r="C396" s="28"/>
    </row>
    <row r="397" ht="12.75" customHeight="1">
      <c r="B397" s="28"/>
      <c r="C397" s="28"/>
    </row>
    <row r="398" ht="12.75" customHeight="1">
      <c r="B398" s="28"/>
      <c r="C398" s="28"/>
    </row>
    <row r="399" ht="12.75" customHeight="1">
      <c r="B399" s="28"/>
      <c r="C399" s="28"/>
    </row>
    <row r="400" ht="12.75" customHeight="1">
      <c r="B400" s="28"/>
      <c r="C400" s="28"/>
    </row>
    <row r="401" ht="12.75" customHeight="1">
      <c r="B401" s="28"/>
      <c r="C401" s="28"/>
    </row>
    <row r="402" ht="12.75" customHeight="1">
      <c r="B402" s="28"/>
      <c r="C402" s="28"/>
    </row>
    <row r="403" ht="12.75" customHeight="1">
      <c r="B403" s="28"/>
      <c r="C403" s="28"/>
    </row>
    <row r="404" ht="12.75" customHeight="1">
      <c r="B404" s="28"/>
      <c r="C404" s="28"/>
    </row>
    <row r="405" ht="12.75" customHeight="1">
      <c r="B405" s="28"/>
      <c r="C405" s="28"/>
    </row>
    <row r="406" ht="12.75" customHeight="1">
      <c r="B406" s="28"/>
      <c r="C406" s="28"/>
    </row>
    <row r="407" ht="12.75" customHeight="1">
      <c r="B407" s="28"/>
      <c r="C407" s="28"/>
    </row>
    <row r="408" ht="12.75" customHeight="1">
      <c r="B408" s="28"/>
      <c r="C408" s="28"/>
    </row>
    <row r="409" ht="12.75" customHeight="1">
      <c r="B409" s="28"/>
      <c r="C409" s="28"/>
    </row>
    <row r="410" ht="12.75" customHeight="1">
      <c r="B410" s="28"/>
      <c r="C410" s="28"/>
    </row>
    <row r="411" ht="12.75" customHeight="1">
      <c r="B411" s="28"/>
      <c r="C411" s="28"/>
    </row>
    <row r="412" ht="12.75" customHeight="1">
      <c r="B412" s="28"/>
      <c r="C412" s="28"/>
    </row>
    <row r="413" ht="12.75" customHeight="1">
      <c r="B413" s="28"/>
      <c r="C413" s="28"/>
    </row>
    <row r="414" ht="12.75" customHeight="1">
      <c r="B414" s="28"/>
      <c r="C414" s="28"/>
    </row>
    <row r="415" ht="12.75" customHeight="1">
      <c r="B415" s="28"/>
      <c r="C415" s="28"/>
    </row>
    <row r="416" ht="12.75" customHeight="1">
      <c r="B416" s="28"/>
      <c r="C416" s="28"/>
    </row>
    <row r="417" ht="12.75" customHeight="1">
      <c r="B417" s="28"/>
      <c r="C417" s="28"/>
    </row>
    <row r="418" ht="12.75" customHeight="1">
      <c r="B418" s="28"/>
      <c r="C418" s="28"/>
    </row>
    <row r="419" ht="12.75" customHeight="1">
      <c r="B419" s="28"/>
      <c r="C419" s="28"/>
    </row>
    <row r="420" ht="12.75" customHeight="1">
      <c r="B420" s="28"/>
      <c r="C420" s="28"/>
    </row>
    <row r="421" ht="12.75" customHeight="1">
      <c r="B421" s="28"/>
      <c r="C421" s="28"/>
    </row>
    <row r="422" ht="12.75" customHeight="1">
      <c r="B422" s="28"/>
      <c r="C422" s="28"/>
    </row>
    <row r="423" ht="12.75" customHeight="1">
      <c r="B423" s="28"/>
      <c r="C423" s="28"/>
    </row>
    <row r="424" ht="12.75" customHeight="1">
      <c r="B424" s="28"/>
      <c r="C424" s="28"/>
    </row>
    <row r="425" ht="12.75" customHeight="1">
      <c r="B425" s="28"/>
      <c r="C425" s="28"/>
    </row>
    <row r="426" ht="12.75" customHeight="1">
      <c r="B426" s="28"/>
      <c r="C426" s="28"/>
    </row>
    <row r="427" ht="12.75" customHeight="1">
      <c r="B427" s="28"/>
      <c r="C427" s="28"/>
    </row>
    <row r="428" ht="12.75" customHeight="1">
      <c r="B428" s="28"/>
      <c r="C428" s="28"/>
    </row>
    <row r="429" ht="12.75" customHeight="1">
      <c r="B429" s="28"/>
      <c r="C429" s="28"/>
    </row>
    <row r="430" ht="12.75" customHeight="1">
      <c r="B430" s="28"/>
      <c r="C430" s="28"/>
    </row>
    <row r="431" ht="12.75" customHeight="1">
      <c r="B431" s="28"/>
      <c r="C431" s="28"/>
    </row>
    <row r="432" ht="12.75" customHeight="1">
      <c r="B432" s="28"/>
      <c r="C432" s="28"/>
    </row>
    <row r="433" ht="12.75" customHeight="1">
      <c r="B433" s="28"/>
      <c r="C433" s="28"/>
    </row>
    <row r="434" ht="12.75" customHeight="1">
      <c r="B434" s="28"/>
      <c r="C434" s="28"/>
    </row>
    <row r="435" ht="12.75" customHeight="1">
      <c r="B435" s="28"/>
      <c r="C435" s="28"/>
    </row>
    <row r="436" ht="12.75" customHeight="1">
      <c r="B436" s="28"/>
      <c r="C436" s="28"/>
    </row>
    <row r="437" ht="12.75" customHeight="1">
      <c r="B437" s="28"/>
      <c r="C437" s="28"/>
    </row>
    <row r="438" ht="12.75" customHeight="1">
      <c r="B438" s="28"/>
      <c r="C438" s="28"/>
    </row>
    <row r="439" ht="12.75" customHeight="1">
      <c r="B439" s="28"/>
      <c r="C439" s="28"/>
    </row>
    <row r="440" ht="12.75" customHeight="1">
      <c r="B440" s="28"/>
      <c r="C440" s="28"/>
    </row>
    <row r="441" ht="12.75" customHeight="1">
      <c r="B441" s="28"/>
      <c r="C441" s="28"/>
    </row>
    <row r="442" ht="12.75" customHeight="1">
      <c r="B442" s="28"/>
      <c r="C442" s="28"/>
    </row>
    <row r="443" ht="12.75" customHeight="1">
      <c r="B443" s="28"/>
      <c r="C443" s="28"/>
    </row>
    <row r="444" ht="12.75" customHeight="1">
      <c r="B444" s="28"/>
      <c r="C444" s="28"/>
    </row>
    <row r="445" ht="12.75" customHeight="1">
      <c r="B445" s="28"/>
      <c r="C445" s="28"/>
    </row>
    <row r="446" ht="12.75" customHeight="1">
      <c r="B446" s="28"/>
      <c r="C446" s="28"/>
    </row>
    <row r="447" ht="12.75" customHeight="1">
      <c r="B447" s="28"/>
      <c r="C447" s="28"/>
    </row>
    <row r="448" ht="12.75" customHeight="1">
      <c r="B448" s="28"/>
      <c r="C448" s="28"/>
    </row>
    <row r="449" ht="12.75" customHeight="1">
      <c r="B449" s="28"/>
      <c r="C449" s="28"/>
    </row>
    <row r="450" ht="12.75" customHeight="1">
      <c r="B450" s="28"/>
      <c r="C450" s="28"/>
    </row>
    <row r="451" ht="12.75" customHeight="1">
      <c r="B451" s="28"/>
      <c r="C451" s="28"/>
    </row>
    <row r="452" ht="12.75" customHeight="1">
      <c r="B452" s="28"/>
      <c r="C452" s="28"/>
    </row>
    <row r="453" ht="12.75" customHeight="1">
      <c r="B453" s="28"/>
      <c r="C453" s="28"/>
    </row>
    <row r="454" ht="12.75" customHeight="1">
      <c r="B454" s="28"/>
      <c r="C454" s="28"/>
    </row>
    <row r="455" ht="12.75" customHeight="1">
      <c r="B455" s="28"/>
      <c r="C455" s="28"/>
    </row>
    <row r="456" ht="12.75" customHeight="1">
      <c r="B456" s="28"/>
      <c r="C456" s="28"/>
    </row>
    <row r="457" ht="12.75" customHeight="1">
      <c r="B457" s="28"/>
      <c r="C457" s="28"/>
    </row>
    <row r="458" ht="12.75" customHeight="1">
      <c r="B458" s="28"/>
      <c r="C458" s="28"/>
    </row>
    <row r="459" ht="12.75" customHeight="1">
      <c r="B459" s="28"/>
      <c r="C459" s="28"/>
    </row>
    <row r="460" ht="12.75" customHeight="1">
      <c r="B460" s="28"/>
      <c r="C460" s="28"/>
    </row>
    <row r="461" ht="12.75" customHeight="1">
      <c r="B461" s="28"/>
      <c r="C461" s="28"/>
    </row>
    <row r="462" ht="12.75" customHeight="1">
      <c r="B462" s="28"/>
      <c r="C462" s="28"/>
    </row>
    <row r="463" ht="12.75" customHeight="1">
      <c r="B463" s="28"/>
      <c r="C463" s="28"/>
    </row>
    <row r="464" ht="12.75" customHeight="1">
      <c r="B464" s="28"/>
      <c r="C464" s="28"/>
    </row>
    <row r="465" ht="12.75" customHeight="1">
      <c r="B465" s="28"/>
      <c r="C465" s="28"/>
    </row>
    <row r="466" ht="12.75" customHeight="1">
      <c r="B466" s="28"/>
      <c r="C466" s="28"/>
    </row>
    <row r="467" ht="12.75" customHeight="1">
      <c r="B467" s="28"/>
      <c r="C467" s="28"/>
    </row>
    <row r="468" ht="12.75" customHeight="1">
      <c r="B468" s="28"/>
      <c r="C468" s="28"/>
    </row>
    <row r="469" ht="12.75" customHeight="1">
      <c r="B469" s="28"/>
      <c r="C469" s="28"/>
    </row>
    <row r="470" ht="12.75" customHeight="1">
      <c r="B470" s="28"/>
      <c r="C470" s="28"/>
    </row>
    <row r="471" ht="12.75" customHeight="1">
      <c r="B471" s="28"/>
      <c r="C471" s="28"/>
    </row>
    <row r="472" ht="12.75" customHeight="1">
      <c r="B472" s="28"/>
      <c r="C472" s="28"/>
    </row>
    <row r="473" ht="12.75" customHeight="1">
      <c r="B473" s="28"/>
      <c r="C473" s="28"/>
    </row>
    <row r="474" ht="12.75" customHeight="1">
      <c r="B474" s="28"/>
      <c r="C474" s="28"/>
    </row>
    <row r="475" ht="12.75" customHeight="1">
      <c r="B475" s="28"/>
      <c r="C475" s="28"/>
    </row>
    <row r="476" ht="12.75" customHeight="1">
      <c r="B476" s="28"/>
      <c r="C476" s="28"/>
    </row>
    <row r="477" ht="12.75" customHeight="1">
      <c r="B477" s="28"/>
      <c r="C477" s="28"/>
    </row>
    <row r="478" ht="12.75" customHeight="1">
      <c r="B478" s="28"/>
      <c r="C478" s="28"/>
    </row>
    <row r="479" ht="12.75" customHeight="1">
      <c r="B479" s="28"/>
      <c r="C479" s="28"/>
    </row>
    <row r="480" ht="12.75" customHeight="1">
      <c r="B480" s="28"/>
      <c r="C480" s="28"/>
    </row>
    <row r="481" ht="12.75" customHeight="1">
      <c r="B481" s="28"/>
      <c r="C481" s="28"/>
    </row>
    <row r="482" ht="12.75" customHeight="1">
      <c r="B482" s="28"/>
      <c r="C482" s="28"/>
    </row>
    <row r="483" ht="12.75" customHeight="1">
      <c r="B483" s="28"/>
      <c r="C483" s="28"/>
    </row>
    <row r="484" ht="12.75" customHeight="1">
      <c r="B484" s="28"/>
      <c r="C484" s="28"/>
    </row>
    <row r="485" ht="12.75" customHeight="1">
      <c r="B485" s="28"/>
      <c r="C485" s="28"/>
    </row>
    <row r="486" ht="12.75" customHeight="1">
      <c r="B486" s="28"/>
      <c r="C486" s="28"/>
    </row>
    <row r="487" ht="12.75" customHeight="1">
      <c r="B487" s="28"/>
      <c r="C487" s="28"/>
    </row>
    <row r="488" ht="12.75" customHeight="1">
      <c r="B488" s="28"/>
      <c r="C488" s="28"/>
    </row>
    <row r="489" ht="12.75" customHeight="1">
      <c r="B489" s="28"/>
      <c r="C489" s="28"/>
    </row>
    <row r="490" ht="12.75" customHeight="1">
      <c r="B490" s="28"/>
      <c r="C490" s="28"/>
    </row>
    <row r="491" ht="12.75" customHeight="1">
      <c r="B491" s="28"/>
      <c r="C491" s="28"/>
    </row>
    <row r="492" ht="12.75" customHeight="1">
      <c r="B492" s="28"/>
      <c r="C492" s="28"/>
    </row>
    <row r="493" ht="12.75" customHeight="1">
      <c r="B493" s="28"/>
      <c r="C493" s="28"/>
    </row>
    <row r="494" ht="12.75" customHeight="1">
      <c r="B494" s="28"/>
      <c r="C494" s="28"/>
    </row>
    <row r="495" ht="12.75" customHeight="1">
      <c r="B495" s="28"/>
      <c r="C495" s="28"/>
    </row>
    <row r="496" ht="12.75" customHeight="1">
      <c r="B496" s="28"/>
      <c r="C496" s="28"/>
    </row>
    <row r="497" ht="12.75" customHeight="1">
      <c r="B497" s="28"/>
      <c r="C497" s="28"/>
    </row>
    <row r="498" ht="12.75" customHeight="1">
      <c r="B498" s="28"/>
      <c r="C498" s="28"/>
    </row>
    <row r="499" ht="12.75" customHeight="1">
      <c r="B499" s="28"/>
      <c r="C499" s="28"/>
    </row>
    <row r="500" ht="12.75" customHeight="1">
      <c r="B500" s="28"/>
      <c r="C500" s="28"/>
    </row>
    <row r="501" ht="12.75" customHeight="1">
      <c r="B501" s="28"/>
      <c r="C501" s="28"/>
    </row>
    <row r="502" ht="12.75" customHeight="1">
      <c r="B502" s="28"/>
      <c r="C502" s="28"/>
    </row>
    <row r="503" ht="12.75" customHeight="1">
      <c r="B503" s="28"/>
      <c r="C503" s="28"/>
    </row>
    <row r="504" ht="12.75" customHeight="1">
      <c r="B504" s="28"/>
      <c r="C504" s="28"/>
    </row>
    <row r="505" ht="12.75" customHeight="1">
      <c r="B505" s="28"/>
      <c r="C505" s="28"/>
    </row>
    <row r="506" ht="12.75" customHeight="1">
      <c r="B506" s="28"/>
      <c r="C506" s="28"/>
    </row>
    <row r="507" ht="12.75" customHeight="1">
      <c r="B507" s="28"/>
      <c r="C507" s="28"/>
    </row>
    <row r="508" ht="12.75" customHeight="1">
      <c r="B508" s="28"/>
      <c r="C508" s="28"/>
    </row>
    <row r="509" ht="12.75" customHeight="1">
      <c r="B509" s="28"/>
      <c r="C509" s="28"/>
    </row>
    <row r="510" ht="12.75" customHeight="1">
      <c r="B510" s="28"/>
      <c r="C510" s="28"/>
    </row>
    <row r="511" ht="12.75" customHeight="1">
      <c r="B511" s="28"/>
      <c r="C511" s="28"/>
    </row>
    <row r="512" ht="12.75" customHeight="1">
      <c r="B512" s="28"/>
      <c r="C512" s="28"/>
    </row>
    <row r="513" ht="12.75" customHeight="1">
      <c r="B513" s="28"/>
      <c r="C513" s="28"/>
    </row>
    <row r="514" ht="12.75" customHeight="1">
      <c r="B514" s="28"/>
      <c r="C514" s="28"/>
    </row>
    <row r="515" ht="12.75" customHeight="1">
      <c r="B515" s="28"/>
      <c r="C515" s="28"/>
    </row>
    <row r="516" ht="12.75" customHeight="1">
      <c r="B516" s="28"/>
      <c r="C516" s="28"/>
    </row>
    <row r="517" ht="12.75" customHeight="1">
      <c r="B517" s="28"/>
      <c r="C517" s="28"/>
    </row>
    <row r="518" ht="12.75" customHeight="1">
      <c r="B518" s="28"/>
      <c r="C518" s="28"/>
    </row>
    <row r="519" ht="12.75" customHeight="1">
      <c r="B519" s="28"/>
      <c r="C519" s="28"/>
    </row>
    <row r="520" ht="12.75" customHeight="1">
      <c r="B520" s="28"/>
      <c r="C520" s="28"/>
    </row>
    <row r="521" ht="12.75" customHeight="1">
      <c r="B521" s="28"/>
      <c r="C521" s="28"/>
    </row>
    <row r="522" ht="12.75" customHeight="1">
      <c r="B522" s="28"/>
      <c r="C522" s="28"/>
    </row>
    <row r="523" ht="12.75" customHeight="1">
      <c r="B523" s="28"/>
      <c r="C523" s="28"/>
    </row>
    <row r="524" ht="12.75" customHeight="1">
      <c r="B524" s="28"/>
      <c r="C524" s="28"/>
    </row>
    <row r="525" ht="12.75" customHeight="1">
      <c r="B525" s="28"/>
      <c r="C525" s="28"/>
    </row>
    <row r="526" ht="12.75" customHeight="1">
      <c r="B526" s="28"/>
      <c r="C526" s="28"/>
    </row>
    <row r="527" ht="12.75" customHeight="1">
      <c r="B527" s="28"/>
      <c r="C527" s="28"/>
    </row>
    <row r="528" ht="12.75" customHeight="1">
      <c r="B528" s="28"/>
      <c r="C528" s="28"/>
    </row>
    <row r="529" ht="12.75" customHeight="1">
      <c r="B529" s="28"/>
      <c r="C529" s="28"/>
    </row>
    <row r="530" ht="12.75" customHeight="1">
      <c r="B530" s="28"/>
      <c r="C530" s="28"/>
    </row>
    <row r="531" ht="12.75" customHeight="1">
      <c r="B531" s="28"/>
      <c r="C531" s="28"/>
    </row>
    <row r="532" ht="12.75" customHeight="1">
      <c r="B532" s="28"/>
      <c r="C532" s="28"/>
    </row>
    <row r="533" ht="12.75" customHeight="1">
      <c r="B533" s="28"/>
      <c r="C533" s="28"/>
    </row>
    <row r="534" ht="12.75" customHeight="1">
      <c r="B534" s="28"/>
      <c r="C534" s="28"/>
    </row>
    <row r="535" ht="12.75" customHeight="1">
      <c r="B535" s="28"/>
      <c r="C535" s="28"/>
    </row>
    <row r="536" ht="12.75" customHeight="1">
      <c r="B536" s="28"/>
      <c r="C536" s="28"/>
    </row>
    <row r="537" ht="12.75" customHeight="1">
      <c r="B537" s="28"/>
      <c r="C537" s="28"/>
    </row>
    <row r="538" ht="12.75" customHeight="1">
      <c r="B538" s="28"/>
      <c r="C538" s="28"/>
    </row>
    <row r="539" ht="12.75" customHeight="1">
      <c r="B539" s="28"/>
      <c r="C539" s="28"/>
    </row>
    <row r="540" ht="12.75" customHeight="1">
      <c r="B540" s="28"/>
      <c r="C540" s="28"/>
    </row>
    <row r="541" ht="12.75" customHeight="1">
      <c r="B541" s="28"/>
      <c r="C541" s="28"/>
    </row>
    <row r="542" ht="12.75" customHeight="1">
      <c r="B542" s="28"/>
      <c r="C542" s="28"/>
    </row>
    <row r="543" ht="12.75" customHeight="1">
      <c r="B543" s="28"/>
      <c r="C543" s="28"/>
    </row>
    <row r="544" ht="12.75" customHeight="1">
      <c r="B544" s="28"/>
      <c r="C544" s="28"/>
    </row>
    <row r="545" ht="12.75" customHeight="1">
      <c r="B545" s="28"/>
      <c r="C545" s="28"/>
    </row>
    <row r="546" ht="12.75" customHeight="1">
      <c r="B546" s="28"/>
      <c r="C546" s="28"/>
    </row>
    <row r="547" ht="12.75" customHeight="1">
      <c r="B547" s="28"/>
      <c r="C547" s="28"/>
    </row>
    <row r="548" ht="12.75" customHeight="1">
      <c r="B548" s="28"/>
      <c r="C548" s="28"/>
    </row>
    <row r="549" ht="12.75" customHeight="1">
      <c r="B549" s="28"/>
      <c r="C549" s="28"/>
    </row>
    <row r="550" ht="12.75" customHeight="1">
      <c r="B550" s="28"/>
      <c r="C550" s="28"/>
    </row>
    <row r="551" ht="12.75" customHeight="1">
      <c r="B551" s="28"/>
      <c r="C551" s="28"/>
    </row>
    <row r="552" ht="12.75" customHeight="1">
      <c r="B552" s="28"/>
      <c r="C552" s="28"/>
    </row>
    <row r="553" ht="12.75" customHeight="1">
      <c r="B553" s="28"/>
      <c r="C553" s="28"/>
    </row>
    <row r="554" ht="12.75" customHeight="1">
      <c r="B554" s="28"/>
      <c r="C554" s="28"/>
    </row>
    <row r="555" ht="12.75" customHeight="1">
      <c r="B555" s="28"/>
      <c r="C555" s="28"/>
    </row>
    <row r="556" ht="12.75" customHeight="1">
      <c r="B556" s="28"/>
      <c r="C556" s="28"/>
    </row>
    <row r="557" ht="12.75" customHeight="1">
      <c r="B557" s="28"/>
      <c r="C557" s="28"/>
    </row>
    <row r="558" ht="12.75" customHeight="1">
      <c r="B558" s="28"/>
      <c r="C558" s="28"/>
    </row>
    <row r="559" ht="12.75" customHeight="1">
      <c r="B559" s="28"/>
      <c r="C559" s="28"/>
    </row>
    <row r="560" ht="12.75" customHeight="1">
      <c r="B560" s="28"/>
      <c r="C560" s="28"/>
    </row>
    <row r="561" ht="12.75" customHeight="1">
      <c r="B561" s="28"/>
      <c r="C561" s="28"/>
    </row>
    <row r="562" ht="12.75" customHeight="1">
      <c r="B562" s="28"/>
      <c r="C562" s="28"/>
    </row>
    <row r="563" ht="12.75" customHeight="1">
      <c r="B563" s="28"/>
      <c r="C563" s="28"/>
    </row>
    <row r="564" ht="12.75" customHeight="1">
      <c r="B564" s="28"/>
      <c r="C564" s="28"/>
    </row>
    <row r="565" ht="12.75" customHeight="1">
      <c r="B565" s="28"/>
      <c r="C565" s="28"/>
    </row>
    <row r="566" ht="12.75" customHeight="1">
      <c r="B566" s="28"/>
      <c r="C566" s="28"/>
    </row>
    <row r="567" ht="12.75" customHeight="1">
      <c r="B567" s="28"/>
      <c r="C567" s="28"/>
    </row>
    <row r="568" ht="12.75" customHeight="1">
      <c r="B568" s="28"/>
      <c r="C568" s="28"/>
    </row>
    <row r="569" ht="12.75" customHeight="1">
      <c r="B569" s="28"/>
      <c r="C569" s="28"/>
    </row>
    <row r="570" ht="12.75" customHeight="1">
      <c r="B570" s="28"/>
      <c r="C570" s="28"/>
    </row>
    <row r="571" ht="12.75" customHeight="1">
      <c r="B571" s="28"/>
      <c r="C571" s="28"/>
    </row>
    <row r="572" ht="12.75" customHeight="1">
      <c r="B572" s="28"/>
      <c r="C572" s="28"/>
    </row>
    <row r="573" ht="12.75" customHeight="1">
      <c r="B573" s="28"/>
      <c r="C573" s="28"/>
    </row>
    <row r="574" ht="12.75" customHeight="1">
      <c r="B574" s="28"/>
      <c r="C574" s="28"/>
    </row>
    <row r="575" ht="12.75" customHeight="1">
      <c r="B575" s="28"/>
      <c r="C575" s="28"/>
    </row>
    <row r="576" ht="12.75" customHeight="1">
      <c r="B576" s="28"/>
      <c r="C576" s="28"/>
    </row>
    <row r="577" ht="12.75" customHeight="1">
      <c r="B577" s="28"/>
      <c r="C577" s="28"/>
    </row>
    <row r="578" ht="12.75" customHeight="1">
      <c r="B578" s="28"/>
      <c r="C578" s="28"/>
    </row>
    <row r="579" ht="12.75" customHeight="1">
      <c r="B579" s="28"/>
      <c r="C579" s="28"/>
    </row>
    <row r="580" ht="12.75" customHeight="1">
      <c r="B580" s="28"/>
      <c r="C580" s="28"/>
    </row>
    <row r="581" ht="12.75" customHeight="1">
      <c r="B581" s="28"/>
      <c r="C581" s="28"/>
    </row>
    <row r="582" ht="12.75" customHeight="1">
      <c r="B582" s="28"/>
      <c r="C582" s="28"/>
    </row>
    <row r="583" ht="12.75" customHeight="1">
      <c r="B583" s="28"/>
      <c r="C583" s="28"/>
    </row>
    <row r="584" ht="12.75" customHeight="1">
      <c r="B584" s="28"/>
      <c r="C584" s="28"/>
    </row>
    <row r="585" ht="12.75" customHeight="1">
      <c r="B585" s="28"/>
      <c r="C585" s="28"/>
    </row>
    <row r="586" ht="12.75" customHeight="1">
      <c r="B586" s="28"/>
      <c r="C586" s="28"/>
    </row>
    <row r="587" ht="12.75" customHeight="1">
      <c r="B587" s="28"/>
      <c r="C587" s="28"/>
    </row>
    <row r="588" ht="12.75" customHeight="1">
      <c r="B588" s="28"/>
      <c r="C588" s="28"/>
    </row>
    <row r="589" ht="12.75" customHeight="1">
      <c r="B589" s="28"/>
      <c r="C589" s="28"/>
    </row>
    <row r="590" ht="12.75" customHeight="1">
      <c r="B590" s="28"/>
      <c r="C590" s="28"/>
    </row>
    <row r="591" ht="12.75" customHeight="1">
      <c r="B591" s="28"/>
      <c r="C591" s="28"/>
    </row>
    <row r="592" ht="12.75" customHeight="1">
      <c r="B592" s="28"/>
      <c r="C592" s="28"/>
    </row>
    <row r="593" ht="12.75" customHeight="1">
      <c r="B593" s="28"/>
      <c r="C593" s="28"/>
    </row>
    <row r="594" ht="12.75" customHeight="1">
      <c r="B594" s="28"/>
      <c r="C594" s="28"/>
    </row>
    <row r="595" ht="12.75" customHeight="1">
      <c r="B595" s="28"/>
      <c r="C595" s="28"/>
    </row>
    <row r="596" ht="12.75" customHeight="1">
      <c r="B596" s="28"/>
      <c r="C596" s="28"/>
    </row>
    <row r="597" ht="12.75" customHeight="1">
      <c r="B597" s="28"/>
      <c r="C597" s="28"/>
    </row>
    <row r="598" ht="12.75" customHeight="1">
      <c r="B598" s="28"/>
      <c r="C598" s="28"/>
    </row>
    <row r="599" ht="12.75" customHeight="1">
      <c r="B599" s="28"/>
      <c r="C599" s="28"/>
    </row>
    <row r="600" ht="12.75" customHeight="1">
      <c r="B600" s="28"/>
      <c r="C600" s="28"/>
    </row>
    <row r="601" ht="12.75" customHeight="1">
      <c r="B601" s="28"/>
      <c r="C601" s="28"/>
    </row>
    <row r="602" ht="12.75" customHeight="1">
      <c r="B602" s="28"/>
      <c r="C602" s="28"/>
    </row>
    <row r="603" ht="12.75" customHeight="1">
      <c r="B603" s="28"/>
      <c r="C603" s="28"/>
    </row>
    <row r="604" ht="12.75" customHeight="1">
      <c r="B604" s="28"/>
      <c r="C604" s="28"/>
    </row>
    <row r="605" ht="12.75" customHeight="1">
      <c r="B605" s="28"/>
      <c r="C605" s="28"/>
    </row>
    <row r="606" ht="12.75" customHeight="1">
      <c r="B606" s="28"/>
      <c r="C606" s="28"/>
    </row>
    <row r="607" ht="12.75" customHeight="1">
      <c r="B607" s="28"/>
      <c r="C607" s="28"/>
    </row>
    <row r="608" ht="12.75" customHeight="1">
      <c r="B608" s="28"/>
      <c r="C608" s="28"/>
    </row>
    <row r="609" ht="12.75" customHeight="1">
      <c r="B609" s="28"/>
      <c r="C609" s="28"/>
    </row>
    <row r="610" ht="12.75" customHeight="1">
      <c r="B610" s="28"/>
      <c r="C610" s="28"/>
    </row>
    <row r="611" ht="12.75" customHeight="1">
      <c r="B611" s="28"/>
      <c r="C611" s="28"/>
    </row>
    <row r="612" ht="12.75" customHeight="1">
      <c r="B612" s="28"/>
      <c r="C612" s="28"/>
    </row>
    <row r="613" ht="12.75" customHeight="1">
      <c r="B613" s="28"/>
      <c r="C613" s="28"/>
    </row>
    <row r="614" ht="12.75" customHeight="1">
      <c r="B614" s="28"/>
      <c r="C614" s="28"/>
    </row>
    <row r="615" ht="12.75" customHeight="1">
      <c r="B615" s="28"/>
      <c r="C615" s="28"/>
    </row>
    <row r="616" ht="12.75" customHeight="1">
      <c r="B616" s="28"/>
      <c r="C616" s="28"/>
    </row>
    <row r="617" ht="12.75" customHeight="1">
      <c r="B617" s="28"/>
      <c r="C617" s="28"/>
    </row>
    <row r="618" ht="12.75" customHeight="1">
      <c r="B618" s="28"/>
      <c r="C618" s="28"/>
    </row>
    <row r="619" ht="12.75" customHeight="1">
      <c r="B619" s="28"/>
      <c r="C619" s="28"/>
    </row>
    <row r="620" ht="12.75" customHeight="1">
      <c r="B620" s="28"/>
      <c r="C620" s="28"/>
    </row>
    <row r="621" ht="12.75" customHeight="1">
      <c r="B621" s="28"/>
      <c r="C621" s="28"/>
    </row>
    <row r="622" ht="12.75" customHeight="1">
      <c r="B622" s="28"/>
      <c r="C622" s="28"/>
    </row>
    <row r="623" ht="12.75" customHeight="1">
      <c r="B623" s="28"/>
      <c r="C623" s="28"/>
    </row>
    <row r="624" ht="12.75" customHeight="1">
      <c r="B624" s="28"/>
      <c r="C624" s="28"/>
    </row>
    <row r="625" ht="12.75" customHeight="1">
      <c r="B625" s="28"/>
      <c r="C625" s="28"/>
    </row>
    <row r="626" ht="12.75" customHeight="1">
      <c r="B626" s="28"/>
      <c r="C626" s="28"/>
    </row>
    <row r="627" ht="12.75" customHeight="1">
      <c r="B627" s="28"/>
      <c r="C627" s="28"/>
    </row>
    <row r="628" ht="12.75" customHeight="1">
      <c r="B628" s="28"/>
      <c r="C628" s="28"/>
    </row>
    <row r="629" ht="12.75" customHeight="1">
      <c r="B629" s="28"/>
      <c r="C629" s="28"/>
    </row>
    <row r="630" ht="12.75" customHeight="1">
      <c r="B630" s="28"/>
      <c r="C630" s="28"/>
    </row>
    <row r="631" ht="12.75" customHeight="1">
      <c r="B631" s="28"/>
      <c r="C631" s="28"/>
    </row>
    <row r="632" ht="12.75" customHeight="1">
      <c r="B632" s="28"/>
      <c r="C632" s="28"/>
    </row>
    <row r="633" ht="12.75" customHeight="1">
      <c r="B633" s="28"/>
      <c r="C633" s="28"/>
    </row>
    <row r="634" ht="12.75" customHeight="1">
      <c r="B634" s="28"/>
      <c r="C634" s="28"/>
    </row>
    <row r="635" ht="12.75" customHeight="1">
      <c r="B635" s="28"/>
      <c r="C635" s="28"/>
    </row>
    <row r="636" ht="12.75" customHeight="1">
      <c r="B636" s="28"/>
      <c r="C636" s="28"/>
    </row>
    <row r="637" ht="12.75" customHeight="1">
      <c r="B637" s="28"/>
      <c r="C637" s="28"/>
    </row>
    <row r="638" ht="12.75" customHeight="1">
      <c r="B638" s="28"/>
      <c r="C638" s="28"/>
    </row>
    <row r="639" ht="12.75" customHeight="1">
      <c r="B639" s="28"/>
      <c r="C639" s="28"/>
    </row>
    <row r="640" ht="12.75" customHeight="1">
      <c r="B640" s="28"/>
      <c r="C640" s="28"/>
    </row>
    <row r="641" ht="12.75" customHeight="1">
      <c r="B641" s="28"/>
      <c r="C641" s="28"/>
    </row>
    <row r="642" ht="12.75" customHeight="1">
      <c r="B642" s="28"/>
      <c r="C642" s="28"/>
    </row>
    <row r="643" ht="12.75" customHeight="1">
      <c r="B643" s="28"/>
      <c r="C643" s="28"/>
    </row>
    <row r="644" ht="12.75" customHeight="1">
      <c r="B644" s="28"/>
      <c r="C644" s="28"/>
    </row>
    <row r="645" ht="12.75" customHeight="1">
      <c r="B645" s="28"/>
      <c r="C645" s="28"/>
    </row>
    <row r="646" ht="12.75" customHeight="1">
      <c r="B646" s="28"/>
      <c r="C646" s="28"/>
    </row>
    <row r="647" ht="12.75" customHeight="1">
      <c r="B647" s="28"/>
      <c r="C647" s="28"/>
    </row>
    <row r="648" ht="12.75" customHeight="1">
      <c r="B648" s="28"/>
      <c r="C648" s="28"/>
    </row>
    <row r="649" ht="12.75" customHeight="1">
      <c r="B649" s="28"/>
      <c r="C649" s="28"/>
    </row>
    <row r="650" ht="12.75" customHeight="1">
      <c r="B650" s="28"/>
      <c r="C650" s="28"/>
    </row>
    <row r="651" ht="12.75" customHeight="1">
      <c r="B651" s="28"/>
      <c r="C651" s="28"/>
    </row>
    <row r="652" ht="12.75" customHeight="1">
      <c r="B652" s="28"/>
      <c r="C652" s="28"/>
    </row>
    <row r="653" ht="12.75" customHeight="1">
      <c r="B653" s="28"/>
      <c r="C653" s="28"/>
    </row>
    <row r="654" ht="12.75" customHeight="1">
      <c r="B654" s="28"/>
      <c r="C654" s="28"/>
    </row>
    <row r="655" ht="12.75" customHeight="1">
      <c r="B655" s="28"/>
      <c r="C655" s="28"/>
    </row>
    <row r="656" ht="12.75" customHeight="1">
      <c r="B656" s="28"/>
      <c r="C656" s="28"/>
    </row>
    <row r="657" ht="12.75" customHeight="1">
      <c r="B657" s="28"/>
      <c r="C657" s="28"/>
    </row>
    <row r="658" ht="12.75" customHeight="1">
      <c r="B658" s="28"/>
      <c r="C658" s="28"/>
    </row>
    <row r="659" ht="12.75" customHeight="1">
      <c r="B659" s="28"/>
      <c r="C659" s="28"/>
    </row>
    <row r="660" ht="12.75" customHeight="1">
      <c r="B660" s="28"/>
      <c r="C660" s="28"/>
    </row>
    <row r="661" ht="12.75" customHeight="1">
      <c r="B661" s="28"/>
      <c r="C661" s="28"/>
    </row>
    <row r="662" ht="12.75" customHeight="1">
      <c r="B662" s="28"/>
      <c r="C662" s="28"/>
    </row>
    <row r="663" ht="12.75" customHeight="1">
      <c r="B663" s="28"/>
      <c r="C663" s="28"/>
    </row>
    <row r="664" ht="12.75" customHeight="1">
      <c r="B664" s="28"/>
      <c r="C664" s="28"/>
    </row>
    <row r="665" ht="12.75" customHeight="1">
      <c r="B665" s="28"/>
      <c r="C665" s="28"/>
    </row>
    <row r="666" ht="12.75" customHeight="1">
      <c r="B666" s="28"/>
      <c r="C666" s="28"/>
    </row>
    <row r="667" ht="12.75" customHeight="1">
      <c r="B667" s="28"/>
      <c r="C667" s="28"/>
    </row>
    <row r="668" ht="12.75" customHeight="1">
      <c r="B668" s="28"/>
      <c r="C668" s="28"/>
    </row>
    <row r="669" ht="12.75" customHeight="1">
      <c r="B669" s="28"/>
      <c r="C669" s="28"/>
    </row>
    <row r="670" ht="12.75" customHeight="1">
      <c r="B670" s="28"/>
      <c r="C670" s="28"/>
    </row>
    <row r="671" ht="12.75" customHeight="1">
      <c r="B671" s="28"/>
      <c r="C671" s="28"/>
    </row>
    <row r="672" ht="12.75" customHeight="1">
      <c r="B672" s="28"/>
      <c r="C672" s="28"/>
    </row>
    <row r="673" ht="12.75" customHeight="1">
      <c r="B673" s="28"/>
      <c r="C673" s="28"/>
    </row>
    <row r="674" ht="12.75" customHeight="1">
      <c r="B674" s="28"/>
      <c r="C674" s="28"/>
    </row>
    <row r="675" ht="12.75" customHeight="1">
      <c r="B675" s="28"/>
      <c r="C675" s="28"/>
    </row>
    <row r="676" ht="12.75" customHeight="1">
      <c r="B676" s="28"/>
      <c r="C676" s="28"/>
    </row>
    <row r="677" ht="12.75" customHeight="1">
      <c r="B677" s="28"/>
      <c r="C677" s="28"/>
    </row>
    <row r="678" ht="12.75" customHeight="1">
      <c r="B678" s="28"/>
      <c r="C678" s="28"/>
    </row>
    <row r="679" ht="12.75" customHeight="1">
      <c r="B679" s="28"/>
      <c r="C679" s="28"/>
    </row>
    <row r="680" ht="12.75" customHeight="1">
      <c r="B680" s="28"/>
      <c r="C680" s="28"/>
    </row>
    <row r="681" ht="12.75" customHeight="1">
      <c r="B681" s="28"/>
      <c r="C681" s="28"/>
    </row>
    <row r="682" ht="12.75" customHeight="1">
      <c r="B682" s="28"/>
      <c r="C682" s="28"/>
    </row>
    <row r="683" ht="12.75" customHeight="1">
      <c r="B683" s="28"/>
      <c r="C683" s="28"/>
    </row>
    <row r="684" ht="12.75" customHeight="1">
      <c r="B684" s="28"/>
      <c r="C684" s="28"/>
    </row>
    <row r="685" ht="12.75" customHeight="1">
      <c r="B685" s="28"/>
      <c r="C685" s="28"/>
    </row>
    <row r="686" ht="12.75" customHeight="1">
      <c r="B686" s="28"/>
      <c r="C686" s="28"/>
    </row>
    <row r="687" ht="12.75" customHeight="1">
      <c r="B687" s="28"/>
      <c r="C687" s="28"/>
    </row>
    <row r="688" ht="12.75" customHeight="1">
      <c r="B688" s="28"/>
      <c r="C688" s="28"/>
    </row>
    <row r="689" ht="12.75" customHeight="1">
      <c r="B689" s="28"/>
      <c r="C689" s="28"/>
    </row>
    <row r="690" ht="12.75" customHeight="1">
      <c r="B690" s="28"/>
      <c r="C690" s="28"/>
    </row>
    <row r="691" ht="12.75" customHeight="1">
      <c r="B691" s="28"/>
      <c r="C691" s="28"/>
    </row>
    <row r="692" ht="12.75" customHeight="1">
      <c r="B692" s="28"/>
      <c r="C692" s="28"/>
    </row>
    <row r="693" ht="12.75" customHeight="1">
      <c r="B693" s="28"/>
      <c r="C693" s="28"/>
    </row>
    <row r="694" ht="12.75" customHeight="1">
      <c r="B694" s="28"/>
      <c r="C694" s="28"/>
    </row>
    <row r="695" ht="12.75" customHeight="1">
      <c r="B695" s="28"/>
      <c r="C695" s="28"/>
    </row>
    <row r="696" ht="12.75" customHeight="1">
      <c r="B696" s="28"/>
      <c r="C696" s="28"/>
    </row>
    <row r="697" ht="12.75" customHeight="1">
      <c r="B697" s="28"/>
      <c r="C697" s="28"/>
    </row>
    <row r="698" ht="12.75" customHeight="1">
      <c r="B698" s="28"/>
      <c r="C698" s="28"/>
    </row>
    <row r="699" ht="12.75" customHeight="1">
      <c r="B699" s="28"/>
      <c r="C699" s="28"/>
    </row>
    <row r="700" ht="12.75" customHeight="1">
      <c r="B700" s="28"/>
      <c r="C700" s="28"/>
    </row>
    <row r="701" ht="12.75" customHeight="1">
      <c r="B701" s="28"/>
      <c r="C701" s="28"/>
    </row>
    <row r="702" ht="12.75" customHeight="1">
      <c r="B702" s="28"/>
      <c r="C702" s="28"/>
    </row>
    <row r="703" ht="12.75" customHeight="1">
      <c r="B703" s="28"/>
      <c r="C703" s="28"/>
    </row>
    <row r="704" ht="12.75" customHeight="1">
      <c r="B704" s="28"/>
      <c r="C704" s="28"/>
    </row>
    <row r="705" ht="12.75" customHeight="1">
      <c r="B705" s="28"/>
      <c r="C705" s="28"/>
    </row>
    <row r="706" ht="12.75" customHeight="1">
      <c r="B706" s="28"/>
      <c r="C706" s="28"/>
    </row>
    <row r="707" ht="12.75" customHeight="1">
      <c r="B707" s="28"/>
      <c r="C707" s="28"/>
    </row>
    <row r="708" ht="12.75" customHeight="1">
      <c r="B708" s="28"/>
      <c r="C708" s="28"/>
    </row>
    <row r="709" ht="12.75" customHeight="1">
      <c r="B709" s="28"/>
      <c r="C709" s="28"/>
    </row>
    <row r="710" ht="12.75" customHeight="1">
      <c r="B710" s="28"/>
      <c r="C710" s="28"/>
    </row>
    <row r="711" ht="12.75" customHeight="1">
      <c r="B711" s="28"/>
      <c r="C711" s="28"/>
    </row>
    <row r="712" ht="12.75" customHeight="1">
      <c r="B712" s="28"/>
      <c r="C712" s="28"/>
    </row>
    <row r="713" ht="12.75" customHeight="1">
      <c r="B713" s="28"/>
      <c r="C713" s="28"/>
    </row>
    <row r="714" ht="12.75" customHeight="1">
      <c r="B714" s="28"/>
      <c r="C714" s="28"/>
    </row>
    <row r="715" ht="12.75" customHeight="1">
      <c r="B715" s="28"/>
      <c r="C715" s="28"/>
    </row>
    <row r="716" ht="12.75" customHeight="1">
      <c r="B716" s="28"/>
      <c r="C716" s="28"/>
    </row>
    <row r="717" ht="12.75" customHeight="1">
      <c r="B717" s="28"/>
      <c r="C717" s="28"/>
    </row>
    <row r="718" ht="12.75" customHeight="1">
      <c r="B718" s="28"/>
      <c r="C718" s="28"/>
    </row>
    <row r="719" ht="12.75" customHeight="1">
      <c r="B719" s="28"/>
      <c r="C719" s="28"/>
    </row>
    <row r="720" ht="12.75" customHeight="1">
      <c r="B720" s="28"/>
      <c r="C720" s="28"/>
    </row>
    <row r="721" ht="12.75" customHeight="1">
      <c r="B721" s="28"/>
      <c r="C721" s="28"/>
    </row>
    <row r="722" ht="12.75" customHeight="1">
      <c r="B722" s="28"/>
      <c r="C722" s="28"/>
    </row>
    <row r="723" ht="12.75" customHeight="1">
      <c r="B723" s="28"/>
      <c r="C723" s="28"/>
    </row>
    <row r="724" ht="12.75" customHeight="1">
      <c r="B724" s="28"/>
      <c r="C724" s="28"/>
    </row>
    <row r="725" ht="12.75" customHeight="1">
      <c r="B725" s="28"/>
      <c r="C725" s="28"/>
    </row>
    <row r="726" ht="12.75" customHeight="1">
      <c r="B726" s="28"/>
      <c r="C726" s="28"/>
    </row>
    <row r="727" ht="12.75" customHeight="1">
      <c r="B727" s="28"/>
      <c r="C727" s="28"/>
    </row>
    <row r="728" ht="12.75" customHeight="1">
      <c r="B728" s="28"/>
      <c r="C728" s="28"/>
    </row>
    <row r="729" ht="12.75" customHeight="1">
      <c r="B729" s="28"/>
      <c r="C729" s="28"/>
    </row>
    <row r="730" ht="12.75" customHeight="1">
      <c r="B730" s="28"/>
      <c r="C730" s="28"/>
    </row>
    <row r="731" ht="12.75" customHeight="1">
      <c r="B731" s="28"/>
      <c r="C731" s="28"/>
    </row>
    <row r="732" ht="12.75" customHeight="1">
      <c r="B732" s="28"/>
      <c r="C732" s="28"/>
    </row>
    <row r="733" ht="12.75" customHeight="1">
      <c r="B733" s="28"/>
      <c r="C733" s="28"/>
    </row>
    <row r="734" ht="12.75" customHeight="1">
      <c r="B734" s="28"/>
      <c r="C734" s="28"/>
    </row>
    <row r="735" ht="12.75" customHeight="1">
      <c r="B735" s="28"/>
      <c r="C735" s="28"/>
    </row>
    <row r="736" ht="12.75" customHeight="1">
      <c r="B736" s="28"/>
      <c r="C736" s="28"/>
    </row>
    <row r="737" ht="12.75" customHeight="1">
      <c r="B737" s="28"/>
      <c r="C737" s="28"/>
    </row>
    <row r="738" ht="12.75" customHeight="1">
      <c r="B738" s="28"/>
      <c r="C738" s="28"/>
    </row>
    <row r="739" ht="12.75" customHeight="1">
      <c r="B739" s="28"/>
      <c r="C739" s="28"/>
    </row>
    <row r="740" ht="12.75" customHeight="1">
      <c r="B740" s="28"/>
      <c r="C740" s="28"/>
    </row>
    <row r="741" ht="12.75" customHeight="1">
      <c r="B741" s="28"/>
      <c r="C741" s="28"/>
    </row>
    <row r="742" ht="12.75" customHeight="1">
      <c r="B742" s="28"/>
      <c r="C742" s="28"/>
    </row>
    <row r="743" ht="12.75" customHeight="1">
      <c r="B743" s="28"/>
      <c r="C743" s="28"/>
    </row>
    <row r="744" ht="12.75" customHeight="1">
      <c r="B744" s="28"/>
      <c r="C744" s="28"/>
    </row>
    <row r="745" ht="12.75" customHeight="1">
      <c r="B745" s="28"/>
      <c r="C745" s="28"/>
    </row>
    <row r="746" ht="12.75" customHeight="1">
      <c r="B746" s="28"/>
      <c r="C746" s="28"/>
    </row>
    <row r="747" ht="12.75" customHeight="1">
      <c r="B747" s="28"/>
      <c r="C747" s="28"/>
    </row>
    <row r="748" ht="12.75" customHeight="1">
      <c r="B748" s="28"/>
      <c r="C748" s="28"/>
    </row>
    <row r="749" ht="12.75" customHeight="1">
      <c r="B749" s="28"/>
      <c r="C749" s="28"/>
    </row>
    <row r="750" ht="12.75" customHeight="1">
      <c r="B750" s="28"/>
      <c r="C750" s="28"/>
    </row>
    <row r="751" ht="12.75" customHeight="1">
      <c r="B751" s="28"/>
      <c r="C751" s="28"/>
    </row>
    <row r="752" ht="12.75" customHeight="1">
      <c r="B752" s="28"/>
      <c r="C752" s="28"/>
    </row>
    <row r="753" ht="12.75" customHeight="1">
      <c r="B753" s="28"/>
      <c r="C753" s="28"/>
    </row>
    <row r="754" ht="12.75" customHeight="1">
      <c r="B754" s="28"/>
      <c r="C754" s="28"/>
    </row>
    <row r="755" ht="12.75" customHeight="1">
      <c r="B755" s="28"/>
      <c r="C755" s="28"/>
    </row>
    <row r="756" ht="12.75" customHeight="1">
      <c r="B756" s="28"/>
      <c r="C756" s="28"/>
    </row>
    <row r="757" ht="12.75" customHeight="1">
      <c r="B757" s="28"/>
      <c r="C757" s="28"/>
    </row>
    <row r="758" ht="12.75" customHeight="1">
      <c r="B758" s="28"/>
      <c r="C758" s="28"/>
    </row>
    <row r="759" ht="12.75" customHeight="1">
      <c r="B759" s="28"/>
      <c r="C759" s="28"/>
    </row>
    <row r="760" ht="12.75" customHeight="1">
      <c r="B760" s="28"/>
      <c r="C760" s="28"/>
    </row>
    <row r="761" ht="12.75" customHeight="1">
      <c r="B761" s="28"/>
      <c r="C761" s="28"/>
    </row>
    <row r="762" ht="12.75" customHeight="1">
      <c r="B762" s="28"/>
      <c r="C762" s="28"/>
    </row>
    <row r="763" ht="12.75" customHeight="1">
      <c r="B763" s="28"/>
      <c r="C763" s="28"/>
    </row>
    <row r="764" ht="12.75" customHeight="1">
      <c r="B764" s="28"/>
      <c r="C764" s="28"/>
    </row>
    <row r="765" ht="12.75" customHeight="1">
      <c r="B765" s="28"/>
      <c r="C765" s="28"/>
    </row>
    <row r="766" ht="12.75" customHeight="1">
      <c r="B766" s="28"/>
      <c r="C766" s="28"/>
    </row>
    <row r="767" ht="12.75" customHeight="1">
      <c r="B767" s="28"/>
      <c r="C767" s="28"/>
    </row>
    <row r="768" ht="12.75" customHeight="1">
      <c r="B768" s="28"/>
      <c r="C768" s="28"/>
    </row>
    <row r="769" ht="12.75" customHeight="1">
      <c r="B769" s="28"/>
      <c r="C769" s="28"/>
    </row>
    <row r="770" ht="12.75" customHeight="1">
      <c r="B770" s="28"/>
      <c r="C770" s="28"/>
    </row>
    <row r="771" ht="12.75" customHeight="1">
      <c r="B771" s="28"/>
      <c r="C771" s="28"/>
    </row>
    <row r="772" ht="12.75" customHeight="1">
      <c r="B772" s="28"/>
      <c r="C772" s="28"/>
    </row>
    <row r="773" ht="12.75" customHeight="1">
      <c r="B773" s="28"/>
      <c r="C773" s="28"/>
    </row>
    <row r="774" ht="12.75" customHeight="1">
      <c r="B774" s="28"/>
      <c r="C774" s="28"/>
    </row>
    <row r="775" ht="12.75" customHeight="1">
      <c r="B775" s="28"/>
      <c r="C775" s="28"/>
    </row>
    <row r="776" ht="12.75" customHeight="1">
      <c r="B776" s="28"/>
      <c r="C776" s="28"/>
    </row>
    <row r="777" ht="12.75" customHeight="1">
      <c r="B777" s="28"/>
      <c r="C777" s="28"/>
    </row>
    <row r="778" ht="12.75" customHeight="1">
      <c r="B778" s="28"/>
      <c r="C778" s="28"/>
    </row>
    <row r="779" ht="12.75" customHeight="1">
      <c r="B779" s="28"/>
      <c r="C779" s="28"/>
    </row>
    <row r="780" ht="12.75" customHeight="1">
      <c r="B780" s="28"/>
      <c r="C780" s="28"/>
    </row>
    <row r="781" ht="12.75" customHeight="1">
      <c r="B781" s="28"/>
      <c r="C781" s="28"/>
    </row>
    <row r="782" ht="12.75" customHeight="1">
      <c r="B782" s="28"/>
      <c r="C782" s="28"/>
    </row>
    <row r="783" ht="12.75" customHeight="1">
      <c r="B783" s="28"/>
      <c r="C783" s="28"/>
    </row>
    <row r="784" ht="12.75" customHeight="1">
      <c r="B784" s="28"/>
      <c r="C784" s="28"/>
    </row>
    <row r="785" ht="12.75" customHeight="1">
      <c r="B785" s="28"/>
      <c r="C785" s="28"/>
    </row>
    <row r="786" ht="12.75" customHeight="1">
      <c r="B786" s="28"/>
      <c r="C786" s="28"/>
    </row>
    <row r="787" ht="12.75" customHeight="1">
      <c r="B787" s="28"/>
      <c r="C787" s="28"/>
    </row>
    <row r="788" ht="12.75" customHeight="1">
      <c r="B788" s="28"/>
      <c r="C788" s="28"/>
    </row>
    <row r="789" ht="12.75" customHeight="1">
      <c r="B789" s="28"/>
      <c r="C789" s="28"/>
    </row>
    <row r="790" ht="12.75" customHeight="1">
      <c r="B790" s="28"/>
      <c r="C790" s="28"/>
    </row>
    <row r="791" ht="12.75" customHeight="1">
      <c r="B791" s="28"/>
      <c r="C791" s="28"/>
    </row>
    <row r="792" ht="12.75" customHeight="1">
      <c r="B792" s="28"/>
      <c r="C792" s="28"/>
    </row>
    <row r="793" ht="12.75" customHeight="1">
      <c r="B793" s="28"/>
      <c r="C793" s="28"/>
    </row>
    <row r="794" ht="12.75" customHeight="1">
      <c r="B794" s="28"/>
      <c r="C794" s="28"/>
    </row>
    <row r="795" ht="12.75" customHeight="1">
      <c r="B795" s="28"/>
      <c r="C795" s="28"/>
    </row>
    <row r="796" ht="12.75" customHeight="1">
      <c r="B796" s="28"/>
      <c r="C796" s="28"/>
    </row>
    <row r="797" ht="12.75" customHeight="1">
      <c r="B797" s="28"/>
      <c r="C797" s="28"/>
    </row>
    <row r="798" ht="12.75" customHeight="1">
      <c r="B798" s="28"/>
      <c r="C798" s="28"/>
    </row>
    <row r="799" ht="12.75" customHeight="1">
      <c r="B799" s="28"/>
      <c r="C799" s="28"/>
    </row>
    <row r="800" ht="12.75" customHeight="1">
      <c r="B800" s="28"/>
      <c r="C800" s="28"/>
    </row>
    <row r="801" ht="12.75" customHeight="1">
      <c r="B801" s="28"/>
      <c r="C801" s="28"/>
    </row>
    <row r="802" ht="12.75" customHeight="1">
      <c r="B802" s="28"/>
      <c r="C802" s="28"/>
    </row>
    <row r="803" ht="12.75" customHeight="1">
      <c r="B803" s="28"/>
      <c r="C803" s="28"/>
    </row>
    <row r="804" ht="12.75" customHeight="1">
      <c r="B804" s="28"/>
      <c r="C804" s="28"/>
    </row>
    <row r="805" ht="12.75" customHeight="1">
      <c r="B805" s="28"/>
      <c r="C805" s="28"/>
    </row>
    <row r="806" ht="12.75" customHeight="1">
      <c r="B806" s="28"/>
      <c r="C806" s="28"/>
    </row>
    <row r="807" ht="12.75" customHeight="1">
      <c r="B807" s="28"/>
      <c r="C807" s="28"/>
    </row>
    <row r="808" ht="12.75" customHeight="1">
      <c r="B808" s="28"/>
      <c r="C808" s="28"/>
    </row>
    <row r="809" ht="12.75" customHeight="1">
      <c r="B809" s="28"/>
      <c r="C809" s="28"/>
    </row>
    <row r="810" ht="12.75" customHeight="1">
      <c r="B810" s="28"/>
      <c r="C810" s="28"/>
    </row>
    <row r="811" ht="12.75" customHeight="1">
      <c r="B811" s="28"/>
      <c r="C811" s="28"/>
    </row>
    <row r="812" ht="12.75" customHeight="1">
      <c r="B812" s="28"/>
      <c r="C812" s="28"/>
    </row>
    <row r="813" ht="12.75" customHeight="1">
      <c r="B813" s="28"/>
      <c r="C813" s="28"/>
    </row>
    <row r="814" ht="12.75" customHeight="1">
      <c r="B814" s="28"/>
      <c r="C814" s="28"/>
    </row>
    <row r="815" ht="12.75" customHeight="1">
      <c r="B815" s="28"/>
      <c r="C815" s="28"/>
    </row>
    <row r="816" ht="12.75" customHeight="1">
      <c r="B816" s="28"/>
      <c r="C816" s="28"/>
    </row>
    <row r="817" ht="12.75" customHeight="1">
      <c r="B817" s="28"/>
      <c r="C817" s="28"/>
    </row>
    <row r="818" ht="12.75" customHeight="1">
      <c r="B818" s="28"/>
      <c r="C818" s="28"/>
    </row>
    <row r="819" ht="12.75" customHeight="1">
      <c r="B819" s="28"/>
      <c r="C819" s="28"/>
    </row>
    <row r="820" ht="12.75" customHeight="1">
      <c r="B820" s="28"/>
      <c r="C820" s="28"/>
    </row>
    <row r="821" ht="12.75" customHeight="1">
      <c r="B821" s="28"/>
      <c r="C821" s="28"/>
    </row>
    <row r="822" ht="12.75" customHeight="1">
      <c r="B822" s="28"/>
      <c r="C822" s="28"/>
    </row>
    <row r="823" ht="12.75" customHeight="1">
      <c r="B823" s="28"/>
      <c r="C823" s="28"/>
    </row>
    <row r="824" ht="12.75" customHeight="1">
      <c r="B824" s="28"/>
      <c r="C824" s="28"/>
    </row>
    <row r="825" ht="12.75" customHeight="1">
      <c r="B825" s="28"/>
      <c r="C825" s="28"/>
    </row>
    <row r="826" ht="12.75" customHeight="1">
      <c r="B826" s="28"/>
      <c r="C826" s="28"/>
    </row>
    <row r="827" ht="12.75" customHeight="1">
      <c r="B827" s="28"/>
      <c r="C827" s="28"/>
    </row>
    <row r="828" ht="12.75" customHeight="1">
      <c r="B828" s="28"/>
      <c r="C828" s="28"/>
    </row>
    <row r="829" ht="12.75" customHeight="1">
      <c r="B829" s="28"/>
      <c r="C829" s="28"/>
    </row>
    <row r="830" ht="12.75" customHeight="1">
      <c r="B830" s="28"/>
      <c r="C830" s="28"/>
    </row>
    <row r="831" ht="12.75" customHeight="1">
      <c r="B831" s="28"/>
      <c r="C831" s="28"/>
    </row>
    <row r="832" ht="12.75" customHeight="1">
      <c r="B832" s="28"/>
      <c r="C832" s="28"/>
    </row>
    <row r="833" ht="12.75" customHeight="1">
      <c r="B833" s="28"/>
      <c r="C833" s="28"/>
    </row>
    <row r="834" ht="12.75" customHeight="1">
      <c r="B834" s="28"/>
      <c r="C834" s="28"/>
    </row>
    <row r="835" ht="12.75" customHeight="1">
      <c r="B835" s="28"/>
      <c r="C835" s="28"/>
    </row>
    <row r="836" ht="12.75" customHeight="1">
      <c r="B836" s="28"/>
      <c r="C836" s="28"/>
    </row>
    <row r="837" ht="12.75" customHeight="1">
      <c r="B837" s="28"/>
      <c r="C837" s="28"/>
    </row>
    <row r="838" ht="12.75" customHeight="1">
      <c r="B838" s="28"/>
      <c r="C838" s="28"/>
    </row>
    <row r="839" ht="12.75" customHeight="1">
      <c r="B839" s="28"/>
      <c r="C839" s="28"/>
    </row>
    <row r="840" ht="12.75" customHeight="1">
      <c r="B840" s="28"/>
      <c r="C840" s="28"/>
    </row>
    <row r="841" ht="12.75" customHeight="1">
      <c r="B841" s="28"/>
      <c r="C841" s="28"/>
    </row>
    <row r="842" ht="12.75" customHeight="1">
      <c r="B842" s="28"/>
      <c r="C842" s="28"/>
    </row>
    <row r="843" ht="12.75" customHeight="1">
      <c r="B843" s="28"/>
      <c r="C843" s="28"/>
    </row>
    <row r="844" ht="12.75" customHeight="1">
      <c r="B844" s="28"/>
      <c r="C844" s="28"/>
    </row>
    <row r="845" ht="12.75" customHeight="1">
      <c r="B845" s="28"/>
      <c r="C845" s="28"/>
    </row>
    <row r="846" ht="12.75" customHeight="1">
      <c r="B846" s="28"/>
      <c r="C846" s="28"/>
    </row>
    <row r="847" ht="12.75" customHeight="1">
      <c r="B847" s="28"/>
      <c r="C847" s="28"/>
    </row>
    <row r="848" ht="12.75" customHeight="1">
      <c r="B848" s="28"/>
      <c r="C848" s="28"/>
    </row>
    <row r="849" ht="12.75" customHeight="1">
      <c r="B849" s="28"/>
      <c r="C849" s="28"/>
    </row>
    <row r="850" ht="12.75" customHeight="1">
      <c r="B850" s="28"/>
      <c r="C850" s="28"/>
    </row>
    <row r="851" ht="12.75" customHeight="1">
      <c r="B851" s="28"/>
      <c r="C851" s="28"/>
    </row>
    <row r="852" ht="12.75" customHeight="1">
      <c r="B852" s="28"/>
      <c r="C852" s="28"/>
    </row>
    <row r="853" ht="12.75" customHeight="1">
      <c r="B853" s="28"/>
      <c r="C853" s="28"/>
    </row>
    <row r="854" ht="12.75" customHeight="1">
      <c r="B854" s="28"/>
      <c r="C854" s="28"/>
    </row>
    <row r="855" ht="12.75" customHeight="1">
      <c r="B855" s="28"/>
      <c r="C855" s="28"/>
    </row>
    <row r="856" ht="12.75" customHeight="1">
      <c r="B856" s="28"/>
      <c r="C856" s="28"/>
    </row>
    <row r="857" ht="12.75" customHeight="1">
      <c r="B857" s="28"/>
      <c r="C857" s="28"/>
    </row>
    <row r="858" ht="12.75" customHeight="1">
      <c r="B858" s="28"/>
      <c r="C858" s="28"/>
    </row>
    <row r="859" ht="12.75" customHeight="1">
      <c r="B859" s="28"/>
      <c r="C859" s="28"/>
    </row>
    <row r="860" ht="12.75" customHeight="1">
      <c r="B860" s="28"/>
      <c r="C860" s="28"/>
    </row>
    <row r="861" ht="12.75" customHeight="1">
      <c r="B861" s="28"/>
      <c r="C861" s="28"/>
    </row>
    <row r="862" ht="12.75" customHeight="1">
      <c r="B862" s="28"/>
      <c r="C862" s="28"/>
    </row>
    <row r="863" ht="12.75" customHeight="1">
      <c r="B863" s="28"/>
      <c r="C863" s="28"/>
    </row>
    <row r="864" ht="12.75" customHeight="1">
      <c r="B864" s="28"/>
      <c r="C864" s="28"/>
    </row>
    <row r="865" ht="12.75" customHeight="1">
      <c r="B865" s="28"/>
      <c r="C865" s="28"/>
    </row>
    <row r="866" ht="12.75" customHeight="1">
      <c r="B866" s="28"/>
      <c r="C866" s="28"/>
    </row>
    <row r="867" ht="12.75" customHeight="1">
      <c r="B867" s="28"/>
      <c r="C867" s="28"/>
    </row>
    <row r="868" ht="12.75" customHeight="1">
      <c r="B868" s="28"/>
      <c r="C868" s="28"/>
    </row>
    <row r="869" ht="12.75" customHeight="1">
      <c r="B869" s="28"/>
      <c r="C869" s="28"/>
    </row>
    <row r="870" ht="12.75" customHeight="1">
      <c r="B870" s="28"/>
      <c r="C870" s="28"/>
    </row>
    <row r="871" ht="12.75" customHeight="1">
      <c r="B871" s="28"/>
      <c r="C871" s="28"/>
    </row>
    <row r="872" ht="12.75" customHeight="1">
      <c r="B872" s="28"/>
      <c r="C872" s="28"/>
    </row>
    <row r="873" ht="12.75" customHeight="1">
      <c r="B873" s="28"/>
      <c r="C873" s="28"/>
    </row>
    <row r="874" ht="12.75" customHeight="1">
      <c r="B874" s="28"/>
      <c r="C874" s="28"/>
    </row>
    <row r="875" ht="12.75" customHeight="1">
      <c r="B875" s="28"/>
      <c r="C875" s="28"/>
    </row>
    <row r="876" ht="12.75" customHeight="1">
      <c r="B876" s="28"/>
      <c r="C876" s="28"/>
    </row>
    <row r="877" ht="12.75" customHeight="1">
      <c r="B877" s="28"/>
      <c r="C877" s="28"/>
    </row>
    <row r="878" ht="12.75" customHeight="1">
      <c r="B878" s="28"/>
      <c r="C878" s="28"/>
    </row>
    <row r="879" ht="12.75" customHeight="1">
      <c r="B879" s="28"/>
      <c r="C879" s="28"/>
    </row>
    <row r="880" ht="12.75" customHeight="1">
      <c r="B880" s="28"/>
      <c r="C880" s="28"/>
    </row>
    <row r="881" ht="12.75" customHeight="1">
      <c r="B881" s="28"/>
      <c r="C881" s="28"/>
    </row>
    <row r="882" ht="12.75" customHeight="1">
      <c r="B882" s="28"/>
      <c r="C882" s="28"/>
    </row>
    <row r="883" ht="12.75" customHeight="1">
      <c r="B883" s="28"/>
      <c r="C883" s="28"/>
    </row>
    <row r="884" ht="12.75" customHeight="1">
      <c r="B884" s="28"/>
      <c r="C884" s="28"/>
    </row>
    <row r="885" ht="12.75" customHeight="1">
      <c r="B885" s="28"/>
      <c r="C885" s="28"/>
    </row>
    <row r="886" ht="12.75" customHeight="1">
      <c r="B886" s="28"/>
      <c r="C886" s="28"/>
    </row>
    <row r="887" ht="12.75" customHeight="1">
      <c r="B887" s="28"/>
      <c r="C887" s="28"/>
    </row>
    <row r="888" ht="12.75" customHeight="1">
      <c r="B888" s="28"/>
      <c r="C888" s="28"/>
    </row>
    <row r="889" ht="12.75" customHeight="1">
      <c r="B889" s="28"/>
      <c r="C889" s="28"/>
    </row>
    <row r="890" ht="12.75" customHeight="1">
      <c r="B890" s="28"/>
      <c r="C890" s="28"/>
    </row>
    <row r="891" ht="12.75" customHeight="1">
      <c r="B891" s="28"/>
      <c r="C891" s="28"/>
    </row>
    <row r="892" ht="12.75" customHeight="1">
      <c r="B892" s="28"/>
      <c r="C892" s="28"/>
    </row>
    <row r="893" ht="12.75" customHeight="1">
      <c r="B893" s="28"/>
      <c r="C893" s="28"/>
    </row>
    <row r="894" ht="12.75" customHeight="1">
      <c r="B894" s="28"/>
      <c r="C894" s="28"/>
    </row>
    <row r="895" ht="12.75" customHeight="1">
      <c r="B895" s="28"/>
      <c r="C895" s="28"/>
    </row>
    <row r="896" ht="12.75" customHeight="1">
      <c r="B896" s="28"/>
      <c r="C896" s="28"/>
    </row>
    <row r="897" ht="12.75" customHeight="1">
      <c r="B897" s="28"/>
      <c r="C897" s="28"/>
    </row>
    <row r="898" ht="12.75" customHeight="1">
      <c r="B898" s="28"/>
      <c r="C898" s="28"/>
    </row>
    <row r="899" ht="12.75" customHeight="1">
      <c r="B899" s="28"/>
      <c r="C899" s="28"/>
    </row>
    <row r="900" ht="12.75" customHeight="1">
      <c r="B900" s="28"/>
      <c r="C900" s="28"/>
    </row>
    <row r="901" ht="12.75" customHeight="1">
      <c r="B901" s="28"/>
      <c r="C901" s="28"/>
    </row>
    <row r="902" ht="12.75" customHeight="1">
      <c r="B902" s="28"/>
      <c r="C902" s="28"/>
    </row>
    <row r="903" ht="12.75" customHeight="1">
      <c r="B903" s="28"/>
      <c r="C903" s="28"/>
    </row>
    <row r="904" ht="12.75" customHeight="1">
      <c r="B904" s="28"/>
      <c r="C904" s="28"/>
    </row>
    <row r="905" ht="12.75" customHeight="1">
      <c r="B905" s="28"/>
      <c r="C905" s="28"/>
    </row>
    <row r="906" ht="12.75" customHeight="1">
      <c r="B906" s="28"/>
      <c r="C906" s="28"/>
    </row>
    <row r="907" ht="12.75" customHeight="1">
      <c r="B907" s="28"/>
      <c r="C907" s="28"/>
    </row>
    <row r="908" ht="12.75" customHeight="1">
      <c r="B908" s="28"/>
      <c r="C908" s="28"/>
    </row>
    <row r="909" ht="12.75" customHeight="1">
      <c r="B909" s="28"/>
      <c r="C909" s="28"/>
    </row>
    <row r="910" ht="12.75" customHeight="1">
      <c r="B910" s="28"/>
      <c r="C910" s="28"/>
    </row>
    <row r="911" ht="12.75" customHeight="1">
      <c r="B911" s="28"/>
      <c r="C911" s="28"/>
    </row>
    <row r="912" ht="12.75" customHeight="1">
      <c r="B912" s="28"/>
      <c r="C912" s="28"/>
    </row>
    <row r="913" ht="12.75" customHeight="1">
      <c r="B913" s="28"/>
      <c r="C913" s="28"/>
    </row>
    <row r="914" ht="12.75" customHeight="1">
      <c r="B914" s="28"/>
      <c r="C914" s="28"/>
    </row>
    <row r="915" ht="12.75" customHeight="1">
      <c r="B915" s="28"/>
      <c r="C915" s="28"/>
    </row>
    <row r="916" ht="12.75" customHeight="1">
      <c r="B916" s="28"/>
      <c r="C916" s="28"/>
    </row>
    <row r="917" ht="12.75" customHeight="1">
      <c r="B917" s="28"/>
      <c r="C917" s="28"/>
    </row>
    <row r="918" ht="12.75" customHeight="1">
      <c r="B918" s="28"/>
      <c r="C918" s="28"/>
    </row>
    <row r="919" ht="12.75" customHeight="1">
      <c r="B919" s="28"/>
      <c r="C919" s="28"/>
    </row>
    <row r="920" ht="12.75" customHeight="1">
      <c r="B920" s="28"/>
      <c r="C920" s="28"/>
    </row>
    <row r="921" ht="12.75" customHeight="1">
      <c r="B921" s="28"/>
      <c r="C921" s="28"/>
    </row>
    <row r="922" ht="12.75" customHeight="1">
      <c r="B922" s="28"/>
      <c r="C922" s="28"/>
    </row>
    <row r="923" ht="12.75" customHeight="1">
      <c r="B923" s="28"/>
      <c r="C923" s="28"/>
    </row>
    <row r="924" ht="12.75" customHeight="1">
      <c r="B924" s="28"/>
      <c r="C924" s="28"/>
    </row>
    <row r="925" ht="12.75" customHeight="1">
      <c r="B925" s="28"/>
      <c r="C925" s="28"/>
    </row>
    <row r="926" ht="12.75" customHeight="1">
      <c r="B926" s="28"/>
      <c r="C926" s="28"/>
    </row>
    <row r="927" ht="12.75" customHeight="1">
      <c r="B927" s="28"/>
      <c r="C927" s="28"/>
    </row>
    <row r="928" ht="12.75" customHeight="1">
      <c r="B928" s="28"/>
      <c r="C928" s="28"/>
    </row>
    <row r="929" ht="12.75" customHeight="1">
      <c r="B929" s="28"/>
      <c r="C929" s="28"/>
    </row>
    <row r="930" ht="12.75" customHeight="1">
      <c r="B930" s="28"/>
      <c r="C930" s="28"/>
    </row>
    <row r="931" ht="12.75" customHeight="1">
      <c r="B931" s="28"/>
      <c r="C931" s="28"/>
    </row>
    <row r="932" ht="12.75" customHeight="1">
      <c r="B932" s="28"/>
      <c r="C932" s="28"/>
    </row>
    <row r="933" ht="12.75" customHeight="1">
      <c r="B933" s="28"/>
      <c r="C933" s="28"/>
    </row>
    <row r="934" ht="12.75" customHeight="1">
      <c r="B934" s="28"/>
      <c r="C934" s="28"/>
    </row>
    <row r="935" ht="12.75" customHeight="1">
      <c r="B935" s="28"/>
      <c r="C935" s="28"/>
    </row>
    <row r="936" ht="12.75" customHeight="1">
      <c r="B936" s="28"/>
      <c r="C936" s="28"/>
    </row>
    <row r="937" ht="12.75" customHeight="1">
      <c r="B937" s="28"/>
      <c r="C937" s="28"/>
    </row>
    <row r="938" ht="12.75" customHeight="1">
      <c r="B938" s="28"/>
      <c r="C938" s="28"/>
    </row>
    <row r="939" ht="12.75" customHeight="1">
      <c r="B939" s="28"/>
      <c r="C939" s="28"/>
    </row>
    <row r="940" ht="12.75" customHeight="1">
      <c r="B940" s="28"/>
      <c r="C940" s="28"/>
    </row>
    <row r="941" ht="12.75" customHeight="1">
      <c r="B941" s="28"/>
      <c r="C941" s="28"/>
    </row>
    <row r="942" ht="12.75" customHeight="1">
      <c r="B942" s="28"/>
      <c r="C942" s="28"/>
    </row>
    <row r="943" ht="12.75" customHeight="1">
      <c r="B943" s="28"/>
      <c r="C943" s="28"/>
    </row>
    <row r="944" ht="12.75" customHeight="1">
      <c r="B944" s="28"/>
      <c r="C944" s="28"/>
    </row>
    <row r="945" ht="12.75" customHeight="1">
      <c r="B945" s="28"/>
      <c r="C945" s="28"/>
    </row>
    <row r="946" ht="12.75" customHeight="1">
      <c r="B946" s="28"/>
      <c r="C946" s="28"/>
    </row>
    <row r="947" ht="12.75" customHeight="1">
      <c r="B947" s="28"/>
      <c r="C947" s="28"/>
    </row>
    <row r="948" ht="12.75" customHeight="1">
      <c r="B948" s="28"/>
      <c r="C948" s="28"/>
    </row>
    <row r="949" ht="12.75" customHeight="1">
      <c r="B949" s="28"/>
      <c r="C949" s="28"/>
    </row>
    <row r="950" ht="12.75" customHeight="1">
      <c r="B950" s="28"/>
      <c r="C950" s="28"/>
    </row>
    <row r="951" ht="12.75" customHeight="1">
      <c r="B951" s="28"/>
      <c r="C951" s="28"/>
    </row>
    <row r="952" ht="12.75" customHeight="1">
      <c r="B952" s="28"/>
      <c r="C952" s="28"/>
    </row>
    <row r="953" ht="12.75" customHeight="1">
      <c r="B953" s="28"/>
      <c r="C953" s="28"/>
    </row>
    <row r="954" ht="12.75" customHeight="1">
      <c r="B954" s="28"/>
      <c r="C954" s="28"/>
    </row>
    <row r="955" ht="12.75" customHeight="1">
      <c r="B955" s="28"/>
      <c r="C955" s="28"/>
    </row>
    <row r="956" ht="12.75" customHeight="1">
      <c r="B956" s="28"/>
      <c r="C956" s="28"/>
    </row>
    <row r="957" ht="12.75" customHeight="1">
      <c r="B957" s="28"/>
      <c r="C957" s="28"/>
    </row>
    <row r="958" ht="12.75" customHeight="1">
      <c r="B958" s="28"/>
      <c r="C958" s="28"/>
    </row>
    <row r="959" ht="12.75" customHeight="1">
      <c r="B959" s="28"/>
      <c r="C959" s="28"/>
    </row>
    <row r="960" ht="12.75" customHeight="1">
      <c r="B960" s="28"/>
      <c r="C960" s="28"/>
    </row>
    <row r="961" ht="12.75" customHeight="1">
      <c r="B961" s="28"/>
      <c r="C961" s="28"/>
    </row>
    <row r="962" ht="12.75" customHeight="1">
      <c r="B962" s="28"/>
      <c r="C962" s="28"/>
    </row>
    <row r="963" ht="12.75" customHeight="1">
      <c r="B963" s="28"/>
      <c r="C963" s="28"/>
    </row>
    <row r="964" ht="12.75" customHeight="1">
      <c r="B964" s="28"/>
      <c r="C964" s="28"/>
    </row>
    <row r="965" ht="12.75" customHeight="1">
      <c r="B965" s="28"/>
      <c r="C965" s="28"/>
    </row>
    <row r="966" ht="12.75" customHeight="1">
      <c r="B966" s="28"/>
      <c r="C966" s="28"/>
    </row>
    <row r="967" ht="12.75" customHeight="1">
      <c r="B967" s="28"/>
      <c r="C967" s="28"/>
    </row>
    <row r="968" ht="12.75" customHeight="1">
      <c r="B968" s="28"/>
      <c r="C968" s="28"/>
    </row>
    <row r="969" ht="12.75" customHeight="1">
      <c r="B969" s="28"/>
      <c r="C969" s="28"/>
    </row>
    <row r="970" ht="12.75" customHeight="1">
      <c r="B970" s="28"/>
      <c r="C970" s="28"/>
    </row>
    <row r="971" ht="12.75" customHeight="1">
      <c r="B971" s="28"/>
      <c r="C971" s="28"/>
    </row>
    <row r="972" ht="12.75" customHeight="1">
      <c r="B972" s="28"/>
      <c r="C972" s="28"/>
    </row>
    <row r="973" ht="12.75" customHeight="1">
      <c r="B973" s="28"/>
      <c r="C973" s="28"/>
    </row>
    <row r="974" ht="12.75" customHeight="1">
      <c r="B974" s="28"/>
      <c r="C974" s="28"/>
    </row>
    <row r="975" ht="12.75" customHeight="1">
      <c r="B975" s="28"/>
      <c r="C975" s="28"/>
    </row>
    <row r="976" ht="12.75" customHeight="1">
      <c r="B976" s="28"/>
      <c r="C976" s="28"/>
    </row>
    <row r="977" ht="12.75" customHeight="1">
      <c r="B977" s="28"/>
      <c r="C977" s="28"/>
    </row>
    <row r="978" ht="12.75" customHeight="1">
      <c r="B978" s="28"/>
      <c r="C978" s="28"/>
    </row>
    <row r="979" ht="12.75" customHeight="1">
      <c r="B979" s="28"/>
      <c r="C979" s="28"/>
    </row>
    <row r="980" ht="12.75" customHeight="1">
      <c r="B980" s="28"/>
      <c r="C980" s="28"/>
    </row>
    <row r="981" ht="12.75" customHeight="1">
      <c r="B981" s="28"/>
      <c r="C981" s="28"/>
    </row>
    <row r="982" ht="12.75" customHeight="1">
      <c r="B982" s="28"/>
      <c r="C982" s="28"/>
    </row>
    <row r="983" ht="12.75" customHeight="1">
      <c r="B983" s="28"/>
      <c r="C983" s="28"/>
    </row>
    <row r="984" ht="12.75" customHeight="1">
      <c r="B984" s="28"/>
      <c r="C984" s="28"/>
    </row>
    <row r="985" ht="12.75" customHeight="1">
      <c r="B985" s="28"/>
      <c r="C985" s="28"/>
    </row>
    <row r="986" ht="12.75" customHeight="1">
      <c r="B986" s="28"/>
      <c r="C986" s="28"/>
    </row>
    <row r="987" ht="12.75" customHeight="1">
      <c r="B987" s="28"/>
      <c r="C987" s="28"/>
    </row>
    <row r="988" ht="12.75" customHeight="1">
      <c r="B988" s="28"/>
      <c r="C988" s="28"/>
    </row>
    <row r="989" ht="12.75" customHeight="1">
      <c r="B989" s="28"/>
      <c r="C989" s="28"/>
    </row>
    <row r="990" ht="12.75" customHeight="1">
      <c r="B990" s="28"/>
      <c r="C990" s="28"/>
    </row>
    <row r="991" ht="12.75" customHeight="1">
      <c r="B991" s="28"/>
      <c r="C991" s="28"/>
    </row>
    <row r="992" ht="12.75" customHeight="1">
      <c r="B992" s="28"/>
      <c r="C992" s="28"/>
    </row>
    <row r="993" ht="12.75" customHeight="1">
      <c r="B993" s="28"/>
      <c r="C993" s="28"/>
    </row>
    <row r="994" ht="12.75" customHeight="1">
      <c r="B994" s="28"/>
      <c r="C994" s="28"/>
    </row>
    <row r="995" ht="12.75" customHeight="1">
      <c r="B995" s="28"/>
      <c r="C995" s="28"/>
    </row>
    <row r="996" ht="12.75" customHeight="1">
      <c r="B996" s="28"/>
      <c r="C996" s="28"/>
    </row>
    <row r="997" ht="12.75" customHeight="1">
      <c r="B997" s="28"/>
      <c r="C997" s="28"/>
    </row>
    <row r="998" ht="12.75" customHeight="1">
      <c r="B998" s="28"/>
      <c r="C998" s="28"/>
    </row>
    <row r="999" ht="12.75" customHeight="1">
      <c r="B999" s="28"/>
      <c r="C999" s="28"/>
    </row>
    <row r="1000" ht="12.75" customHeight="1">
      <c r="B1000" s="28"/>
      <c r="C1000" s="28"/>
    </row>
  </sheetData>
  <mergeCells count="1">
    <mergeCell ref="E2:F2"/>
  </mergeCells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1999-05-21T04:40:53Z</dcterms:created>
  <dc:creator>Esteban Yañez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">
    <vt:lpwstr>Documento</vt:lpwstr>
  </property>
</Properties>
</file>