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/>
  <workbookPr/>
  <mc:AlternateContent xmlns:mc="http://schemas.openxmlformats.org/markup-compatibility/2006">
    <mc:Choice Requires="x15">
      <x15ac:absPath xmlns:x15ac="http://schemas.microsoft.com/office/spreadsheetml/2010/11/ac" url="I:\Mi unidad\ITBA\Management &amp; Analytics\Finanzas y Gestión\Recursos compartidos Grupo 1\TP 5\"/>
    </mc:Choice>
  </mc:AlternateContent>
  <xr:revisionPtr revIDLastSave="0" documentId="13_ncr:1_{B881EE6D-0B63-4E65-B82C-1DCB46B134B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NTREGABLE 5" sheetId="6" r:id="rId1"/>
  </sheets>
  <definedNames>
    <definedName name="taxtab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" i="6" l="1"/>
  <c r="N23" i="6"/>
  <c r="N22" i="6"/>
  <c r="R15" i="6"/>
  <c r="Q15" i="6"/>
  <c r="P15" i="6"/>
  <c r="Y12" i="6"/>
  <c r="O16" i="6" s="1"/>
  <c r="Z12" i="6"/>
  <c r="P16" i="6" s="1"/>
  <c r="P18" i="6" s="1"/>
  <c r="N18" i="6" s="1"/>
  <c r="AA12" i="6"/>
  <c r="Q16" i="6" s="1"/>
  <c r="Q18" i="6" s="1"/>
  <c r="AB12" i="6"/>
  <c r="R16" i="6" s="1"/>
  <c r="R18" i="6" s="1"/>
  <c r="X12" i="6"/>
  <c r="N21" i="6"/>
  <c r="P12" i="6"/>
  <c r="Q12" i="6"/>
  <c r="R12" i="6"/>
  <c r="P13" i="6"/>
  <c r="Q13" i="6"/>
  <c r="R13" i="6"/>
  <c r="O12" i="6"/>
  <c r="O18" i="6" s="1"/>
  <c r="O13" i="6"/>
  <c r="N13" i="6"/>
  <c r="N12" i="6"/>
  <c r="C63" i="6"/>
  <c r="G61" i="6"/>
  <c r="C62" i="6" s="1"/>
  <c r="C30" i="6"/>
  <c r="D10" i="6"/>
  <c r="D30" i="6" s="1"/>
  <c r="R19" i="6" l="1"/>
  <c r="Q19" i="6"/>
  <c r="C65" i="6"/>
  <c r="P19" i="6"/>
  <c r="O19" i="6"/>
  <c r="E10" i="6"/>
  <c r="N25" i="6" l="1"/>
  <c r="N26" i="6" s="1"/>
  <c r="S19" i="6"/>
  <c r="T21" i="6" s="1"/>
  <c r="E30" i="6"/>
  <c r="F10" i="6"/>
  <c r="F30" i="6" l="1"/>
  <c r="G10" i="6"/>
  <c r="G30" i="6" s="1"/>
</calcChain>
</file>

<file path=xl/sharedStrings.xml><?xml version="1.0" encoding="utf-8"?>
<sst xmlns="http://schemas.openxmlformats.org/spreadsheetml/2006/main" count="102" uniqueCount="93">
  <si>
    <t>CAJA</t>
  </si>
  <si>
    <t>VENTAS</t>
  </si>
  <si>
    <t>AMORTIZACIONES</t>
  </si>
  <si>
    <t>INTERESES</t>
  </si>
  <si>
    <t>COSTOS</t>
  </si>
  <si>
    <t xml:space="preserve">   Taxes (40%)</t>
  </si>
  <si>
    <t>VO-AA</t>
  </si>
  <si>
    <t>Total liabilities and equity</t>
  </si>
  <si>
    <t>VALUAR LA EMPRESA CUYOS DATOS ESTIMADOS SE VUELCAN A CONTINUACIÓN</t>
  </si>
  <si>
    <t xml:space="preserve"> Todo en millones de dólares</t>
  </si>
  <si>
    <t>UAII = EBIT</t>
  </si>
  <si>
    <t>RESULTADOS:</t>
  </si>
  <si>
    <t>BALANCE</t>
  </si>
  <si>
    <t>Millones de dolares</t>
  </si>
  <si>
    <t>Bienes de uso netos</t>
  </si>
  <si>
    <t>Puede asumirse que valor de deuda en este caso coincide con valor de libros de deuda</t>
  </si>
  <si>
    <t>Atención! Rubro NO operativo</t>
  </si>
  <si>
    <t>COSTOS OPERATIVOS</t>
  </si>
  <si>
    <t>EBIT</t>
  </si>
  <si>
    <t>EBT</t>
  </si>
  <si>
    <t>UTILIDAD ANTES DE PREFERIDOS</t>
  </si>
  <si>
    <t>DIVIDENDO A PREFERIDOS</t>
  </si>
  <si>
    <t>UTILIDAD DISPONIBLE A COMUNES</t>
  </si>
  <si>
    <t>DIVIDENDOS A COMUNES</t>
  </si>
  <si>
    <t>ADICIÓN A UTILIDADES ACUM</t>
  </si>
  <si>
    <t>DIVIDENDOS POR ACCIÓN</t>
  </si>
  <si>
    <t>MILLONES DE ACCIONES</t>
  </si>
  <si>
    <t>PROYECTADO</t>
  </si>
  <si>
    <t>REAL</t>
  </si>
  <si>
    <t>INVERS. CORRIENTES</t>
  </si>
  <si>
    <t>CREDITOS</t>
  </si>
  <si>
    <t>INVENTARIOS</t>
  </si>
  <si>
    <t>ACTIVOS CORRIENTES</t>
  </si>
  <si>
    <t>BIENES DE USO -AA</t>
  </si>
  <si>
    <t>TOTAL ACTIVOS</t>
  </si>
  <si>
    <t>DEUDAS Y PATRIMONIO</t>
  </si>
  <si>
    <t>DEUDAS COMERCIALES</t>
  </si>
  <si>
    <t>DEUDAS BANCARIAS CP</t>
  </si>
  <si>
    <t>PROVISIONES</t>
  </si>
  <si>
    <t>DEUDA EN BONOS</t>
  </si>
  <si>
    <t>ACCIONES PREFERIDAS</t>
  </si>
  <si>
    <t>ACCIONES COMUNES</t>
  </si>
  <si>
    <t>UTILIDADES ACUMULADAS</t>
  </si>
  <si>
    <t>PATRIMONIO COMÚN</t>
  </si>
  <si>
    <t>ENTREGABLE 5</t>
  </si>
  <si>
    <t>Permite Calcular Total Deuda 123+124</t>
  </si>
  <si>
    <r>
      <t xml:space="preserve">Usted conoce la información del último Balance del 31 dic 2023. y proyecciones 2024 a 2027 </t>
    </r>
    <r>
      <rPr>
        <b/>
        <u/>
        <sz val="14"/>
        <color indexed="18"/>
        <rFont val="Times New Roman"/>
        <family val="1"/>
      </rPr>
      <t>A partir de allí la empresa crecerá un 5% por año</t>
    </r>
    <r>
      <rPr>
        <b/>
        <sz val="14"/>
        <color indexed="18"/>
        <rFont val="Times New Roman"/>
        <family val="1"/>
      </rPr>
      <t>. El wacc se mantendrá en 10.84%, ¿Cuánto Vale esta empresa? - Método wacc</t>
    </r>
  </si>
  <si>
    <t>Actual</t>
  </si>
  <si>
    <t>Projected</t>
  </si>
  <si>
    <t>AÑO</t>
  </si>
  <si>
    <t>MODELO DE DIVIDENDOS DE GORDON SCHAPIRO</t>
  </si>
  <si>
    <t>COSTO DEL DINERO PROPIO</t>
  </si>
  <si>
    <t>CRECIMIENTO DE LARGO PLAZO</t>
  </si>
  <si>
    <t xml:space="preserve"> </t>
  </si>
  <si>
    <t>VALOR HOY DE LOS DIVIDENDOS DE 2024  A 2027</t>
  </si>
  <si>
    <t>VALOR HOY DE LOS DIVIDENDOS DE 2028 A INFINITO</t>
  </si>
  <si>
    <t>2024 - 2027  AL DÍA DE HOY</t>
  </si>
  <si>
    <t>SU RESULTADO DEBIERA PARECERSE AL QUE SE OBTIENE CON EL MÉTODO DE GORDON SCHAPIRO EXPUESTO AQUÍ ABAJO</t>
  </si>
  <si>
    <t>PRECIO DE LA ACCIÓN HOY</t>
  </si>
  <si>
    <t>ATENCIÓN! OBSERVE QUE LOS DIVIDENDOS SE DESCUENTAN CON EL COSTO DEL DINERO PROPIO!</t>
  </si>
  <si>
    <r>
      <t>2028 A INFINITO EN 2027 = [D</t>
    </r>
    <r>
      <rPr>
        <b/>
        <vertAlign val="subscript"/>
        <sz val="10"/>
        <rFont val="Calibri"/>
        <family val="2"/>
        <scheme val="minor"/>
      </rPr>
      <t>2027</t>
    </r>
    <r>
      <rPr>
        <b/>
        <sz val="10"/>
        <rFont val="Calibri"/>
        <family val="2"/>
        <scheme val="minor"/>
      </rPr>
      <t xml:space="preserve"> * (1+g)] / [r</t>
    </r>
    <r>
      <rPr>
        <b/>
        <vertAlign val="subscript"/>
        <sz val="10"/>
        <rFont val="Calibri"/>
        <family val="2"/>
        <scheme val="minor"/>
      </rPr>
      <t>s</t>
    </r>
    <r>
      <rPr>
        <b/>
        <sz val="10"/>
        <rFont val="Calibri"/>
        <family val="2"/>
        <scheme val="minor"/>
      </rPr>
      <t xml:space="preserve"> - g]</t>
    </r>
  </si>
  <si>
    <t>2028 A INFINITO AL DIA DE  HOY</t>
  </si>
  <si>
    <t>-&gt; este valor debe sumarse al Valor Operativo calculado para todo el ejercicio</t>
  </si>
  <si>
    <t>-&gt; este valor debe restarse al Valor y da el Equiti, pero como hay acciones preferidas, también se deben restar las acciones preferidas</t>
  </si>
  <si>
    <t>FCFF = +UAII (1-TAX) +Amortizaciones – Inversiones en BU – DELTA KTOP</t>
  </si>
  <si>
    <t>FCFE = Uneta-DeltaBU-DeltaKtop+Delta Deuda Financiera</t>
  </si>
  <si>
    <t>V = D + E + P</t>
  </si>
  <si>
    <t>Deuda</t>
  </si>
  <si>
    <t>Equity</t>
  </si>
  <si>
    <t>Acciones Preferidas</t>
  </si>
  <si>
    <t>FCFF 2023</t>
  </si>
  <si>
    <t>FCFF 2024</t>
  </si>
  <si>
    <t>FCFF 2025</t>
  </si>
  <si>
    <t>FCFF 2026</t>
  </si>
  <si>
    <t>FCFF 2027</t>
  </si>
  <si>
    <t>UAII (EBIT)</t>
  </si>
  <si>
    <t>1-TAX</t>
  </si>
  <si>
    <t>Amortizaciones</t>
  </si>
  <si>
    <t>Delta KTOP</t>
  </si>
  <si>
    <t>WACC</t>
  </si>
  <si>
    <t>FCFF</t>
  </si>
  <si>
    <t>Valor de la fima:</t>
  </si>
  <si>
    <t>Invers. Corrientes</t>
  </si>
  <si>
    <t>Delta BU</t>
  </si>
  <si>
    <t>KTOP = CAJA + CREDITOS + BIENES DE CAMBIO - DEUDAS COMERCIALES - PROVISIONES</t>
  </si>
  <si>
    <t>g</t>
  </si>
  <si>
    <t>FCFF (descontado)</t>
  </si>
  <si>
    <t>FCFF 2028 (a perpetuidad)</t>
  </si>
  <si>
    <t>FCFF 2028 (estimando el crecimiento del 5%)</t>
  </si>
  <si>
    <t>V =</t>
  </si>
  <si>
    <t>Suma de FCFF de los períodos</t>
  </si>
  <si>
    <t>FCFF 2028 (estimado) / WACC - g =&gt;</t>
  </si>
  <si>
    <t xml:space="preserve">FCFF 2028 (a perpetuidad)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</si>
</sst>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$&quot;\ #,##0.00;[Red]\-&quot;$&quot;\ #,##0.00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#,##0.0"/>
    <numFmt numFmtId="165" formatCode="&quot;$&quot;#,##0.0"/>
    <numFmt numFmtId="166" formatCode="0.0"/>
    <numFmt numFmtId="167" formatCode="&quot;$&quot;#,##0.000"/>
    <numFmt numFmtId="168" formatCode="#,##0.000"/>
    <numFmt numFmtId="169" formatCode="0.0%"/>
    <numFmt numFmtId="170" formatCode="&quot;$&quot;#,##0.00_);[Red]\(&quot;$&quot;#,##0.00\)"/>
    <numFmt numFmtId="171" formatCode="&quot;$&quot;#,##0.00"/>
    <numFmt numFmtId="172" formatCode="&quot;$&quot;\ #,##0.0"/>
  </numFmts>
  <fonts count="24" x14ac:knownFonts="1">
    <font>
      <sz val="10"/>
      <name val="Arial"/>
    </font>
    <font>
      <sz val="10"/>
      <name val="Arial"/>
    </font>
    <font>
      <b/>
      <sz val="14"/>
      <color indexed="16"/>
      <name val="Times New Roman"/>
      <family val="1"/>
    </font>
    <font>
      <b/>
      <sz val="14"/>
      <name val="Times New Roman"/>
      <family val="1"/>
    </font>
    <font>
      <b/>
      <sz val="14"/>
      <color indexed="18"/>
      <name val="Times New Roman"/>
      <family val="1"/>
    </font>
    <font>
      <b/>
      <sz val="14"/>
      <color indexed="10"/>
      <name val="Times New Roman"/>
      <family val="1"/>
    </font>
    <font>
      <b/>
      <u/>
      <sz val="14"/>
      <color indexed="18"/>
      <name val="Times New Roman"/>
      <family val="1"/>
    </font>
    <font>
      <b/>
      <sz val="14"/>
      <color indexed="12"/>
      <name val="Times New Roman"/>
      <family val="1"/>
    </font>
    <font>
      <b/>
      <u val="singleAccounting"/>
      <sz val="14"/>
      <name val="Times New Roman"/>
      <family val="1"/>
    </font>
    <font>
      <b/>
      <u val="doubleAccounting"/>
      <sz val="14"/>
      <name val="Times New Roman"/>
      <family val="1"/>
    </font>
    <font>
      <b/>
      <sz val="14"/>
      <color indexed="60"/>
      <name val="Times New Roman"/>
      <family val="1"/>
    </font>
    <font>
      <b/>
      <sz val="10"/>
      <color indexed="16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u/>
      <sz val="10"/>
      <color indexed="12"/>
      <name val="Calibri"/>
      <family val="2"/>
      <scheme val="minor"/>
    </font>
    <font>
      <b/>
      <sz val="10"/>
      <name val="Arial"/>
      <family val="2"/>
    </font>
    <font>
      <b/>
      <sz val="10"/>
      <name val="Arial Black"/>
      <family val="2"/>
    </font>
    <font>
      <sz val="10"/>
      <name val="Arial Black"/>
      <family val="2"/>
    </font>
    <font>
      <b/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4" borderId="0" applyNumberFormat="0" applyBorder="0" applyAlignment="0" applyProtection="0"/>
  </cellStyleXfs>
  <cellXfs count="86">
    <xf numFmtId="0" fontId="0" fillId="0" borderId="0" xfId="0"/>
    <xf numFmtId="0" fontId="3" fillId="0" borderId="0" xfId="0" applyFont="1"/>
    <xf numFmtId="0" fontId="7" fillId="0" borderId="0" xfId="0" applyFont="1"/>
    <xf numFmtId="0" fontId="3" fillId="2" borderId="2" xfId="0" applyFont="1" applyFill="1" applyBorder="1"/>
    <xf numFmtId="0" fontId="3" fillId="2" borderId="0" xfId="0" applyFont="1" applyFill="1"/>
    <xf numFmtId="0" fontId="3" fillId="2" borderId="0" xfId="0" applyFont="1" applyFill="1" applyAlignment="1">
      <alignment horizontal="right"/>
    </xf>
    <xf numFmtId="0" fontId="3" fillId="2" borderId="5" xfId="0" applyFont="1" applyFill="1" applyBorder="1" applyAlignment="1">
      <alignment horizontal="right"/>
    </xf>
    <xf numFmtId="0" fontId="3" fillId="2" borderId="6" xfId="0" applyFont="1" applyFill="1" applyBorder="1" applyAlignment="1">
      <alignment horizontal="right"/>
    </xf>
    <xf numFmtId="3" fontId="5" fillId="2" borderId="0" xfId="1" applyNumberFormat="1" applyFont="1" applyFill="1" applyBorder="1"/>
    <xf numFmtId="165" fontId="8" fillId="2" borderId="0" xfId="2" applyNumberFormat="1" applyFont="1" applyFill="1" applyBorder="1"/>
    <xf numFmtId="165" fontId="8" fillId="2" borderId="3" xfId="2" applyNumberFormat="1" applyFont="1" applyFill="1" applyBorder="1"/>
    <xf numFmtId="165" fontId="3" fillId="2" borderId="0" xfId="2" applyNumberFormat="1" applyFont="1" applyFill="1" applyBorder="1"/>
    <xf numFmtId="165" fontId="3" fillId="2" borderId="3" xfId="2" applyNumberFormat="1" applyFont="1" applyFill="1" applyBorder="1"/>
    <xf numFmtId="166" fontId="8" fillId="2" borderId="0" xfId="1" applyNumberFormat="1" applyFont="1" applyFill="1" applyBorder="1"/>
    <xf numFmtId="166" fontId="8" fillId="2" borderId="3" xfId="1" applyNumberFormat="1" applyFont="1" applyFill="1" applyBorder="1"/>
    <xf numFmtId="165" fontId="5" fillId="2" borderId="0" xfId="2" applyNumberFormat="1" applyFont="1" applyFill="1" applyBorder="1"/>
    <xf numFmtId="165" fontId="5" fillId="2" borderId="3" xfId="2" applyNumberFormat="1" applyFont="1" applyFill="1" applyBorder="1"/>
    <xf numFmtId="0" fontId="3" fillId="0" borderId="0" xfId="0" applyFont="1" applyAlignment="1">
      <alignment horizontal="center"/>
    </xf>
    <xf numFmtId="4" fontId="3" fillId="2" borderId="0" xfId="0" applyNumberFormat="1" applyFont="1" applyFill="1"/>
    <xf numFmtId="165" fontId="9" fillId="2" borderId="0" xfId="2" applyNumberFormat="1" applyFont="1" applyFill="1" applyBorder="1"/>
    <xf numFmtId="165" fontId="9" fillId="2" borderId="3" xfId="2" applyNumberFormat="1" applyFont="1" applyFill="1" applyBorder="1"/>
    <xf numFmtId="4" fontId="3" fillId="2" borderId="0" xfId="2" applyNumberFormat="1" applyFont="1" applyFill="1" applyBorder="1"/>
    <xf numFmtId="4" fontId="3" fillId="2" borderId="3" xfId="2" applyNumberFormat="1" applyFont="1" applyFill="1" applyBorder="1"/>
    <xf numFmtId="0" fontId="3" fillId="2" borderId="0" xfId="2" applyNumberFormat="1" applyFont="1" applyFill="1" applyBorder="1"/>
    <xf numFmtId="0" fontId="3" fillId="2" borderId="3" xfId="2" applyNumberFormat="1" applyFont="1" applyFill="1" applyBorder="1"/>
    <xf numFmtId="167" fontId="3" fillId="2" borderId="0" xfId="2" applyNumberFormat="1" applyFont="1" applyFill="1" applyBorder="1"/>
    <xf numFmtId="167" fontId="3" fillId="2" borderId="3" xfId="2" applyNumberFormat="1" applyFont="1" applyFill="1" applyBorder="1"/>
    <xf numFmtId="0" fontId="3" fillId="0" borderId="8" xfId="0" applyFont="1" applyBorder="1"/>
    <xf numFmtId="0" fontId="3" fillId="0" borderId="9" xfId="0" applyFont="1" applyBorder="1"/>
    <xf numFmtId="167" fontId="3" fillId="0" borderId="9" xfId="2" applyNumberFormat="1" applyFont="1" applyFill="1" applyBorder="1"/>
    <xf numFmtId="0" fontId="2" fillId="2" borderId="2" xfId="0" applyFont="1" applyFill="1" applyBorder="1"/>
    <xf numFmtId="164" fontId="3" fillId="2" borderId="0" xfId="2" applyNumberFormat="1" applyFont="1" applyFill="1" applyBorder="1" applyAlignment="1">
      <alignment horizontal="right"/>
    </xf>
    <xf numFmtId="166" fontId="3" fillId="2" borderId="0" xfId="1" applyNumberFormat="1" applyFont="1" applyFill="1" applyBorder="1"/>
    <xf numFmtId="166" fontId="3" fillId="2" borderId="3" xfId="1" applyNumberFormat="1" applyFont="1" applyFill="1" applyBorder="1"/>
    <xf numFmtId="4" fontId="3" fillId="2" borderId="3" xfId="0" applyNumberFormat="1" applyFont="1" applyFill="1" applyBorder="1"/>
    <xf numFmtId="0" fontId="3" fillId="2" borderId="7" xfId="0" applyFont="1" applyFill="1" applyBorder="1"/>
    <xf numFmtId="0" fontId="3" fillId="2" borderId="1" xfId="0" applyFont="1" applyFill="1" applyBorder="1"/>
    <xf numFmtId="165" fontId="9" fillId="2" borderId="1" xfId="2" applyNumberFormat="1" applyFont="1" applyFill="1" applyBorder="1"/>
    <xf numFmtId="165" fontId="9" fillId="2" borderId="4" xfId="2" applyNumberFormat="1" applyFont="1" applyFill="1" applyBorder="1"/>
    <xf numFmtId="166" fontId="5" fillId="3" borderId="0" xfId="1" applyNumberFormat="1" applyFont="1" applyFill="1" applyBorder="1"/>
    <xf numFmtId="166" fontId="10" fillId="3" borderId="0" xfId="1" applyNumberFormat="1" applyFont="1" applyFill="1" applyBorder="1"/>
    <xf numFmtId="0" fontId="3" fillId="3" borderId="2" xfId="0" applyFont="1" applyFill="1" applyBorder="1"/>
    <xf numFmtId="0" fontId="3" fillId="3" borderId="0" xfId="0" applyFont="1" applyFill="1"/>
    <xf numFmtId="165" fontId="5" fillId="3" borderId="0" xfId="2" applyNumberFormat="1" applyFont="1" applyFill="1" applyBorder="1"/>
    <xf numFmtId="165" fontId="5" fillId="3" borderId="3" xfId="2" applyNumberFormat="1" applyFont="1" applyFill="1" applyBorder="1"/>
    <xf numFmtId="0" fontId="3" fillId="3" borderId="0" xfId="0" applyFont="1" applyFill="1" applyAlignment="1">
      <alignment horizontal="center"/>
    </xf>
    <xf numFmtId="166" fontId="8" fillId="3" borderId="0" xfId="1" applyNumberFormat="1" applyFont="1" applyFill="1" applyBorder="1"/>
    <xf numFmtId="166" fontId="8" fillId="3" borderId="3" xfId="1" applyNumberFormat="1" applyFont="1" applyFill="1" applyBorder="1"/>
    <xf numFmtId="0" fontId="16" fillId="0" borderId="0" xfId="0" applyFont="1"/>
    <xf numFmtId="0" fontId="17" fillId="3" borderId="0" xfId="0" applyFont="1" applyFill="1"/>
    <xf numFmtId="0" fontId="18" fillId="3" borderId="0" xfId="0" applyFont="1" applyFill="1"/>
    <xf numFmtId="0" fontId="11" fillId="3" borderId="0" xfId="0" applyFont="1" applyFill="1"/>
    <xf numFmtId="0" fontId="12" fillId="3" borderId="0" xfId="0" applyFont="1" applyFill="1"/>
    <xf numFmtId="0" fontId="12" fillId="3" borderId="0" xfId="0" applyFont="1" applyFill="1" applyAlignment="1">
      <alignment horizontal="right"/>
    </xf>
    <xf numFmtId="0" fontId="12" fillId="3" borderId="5" xfId="0" applyFont="1" applyFill="1" applyBorder="1" applyAlignment="1">
      <alignment horizontal="right"/>
    </xf>
    <xf numFmtId="168" fontId="13" fillId="3" borderId="0" xfId="0" applyNumberFormat="1" applyFont="1" applyFill="1"/>
    <xf numFmtId="169" fontId="13" fillId="3" borderId="0" xfId="3" applyNumberFormat="1" applyFont="1" applyFill="1" applyBorder="1"/>
    <xf numFmtId="0" fontId="13" fillId="3" borderId="0" xfId="0" applyFont="1" applyFill="1"/>
    <xf numFmtId="43" fontId="13" fillId="3" borderId="0" xfId="1" applyFont="1" applyFill="1"/>
    <xf numFmtId="170" fontId="13" fillId="3" borderId="0" xfId="0" applyNumberFormat="1" applyFont="1" applyFill="1"/>
    <xf numFmtId="170" fontId="15" fillId="3" borderId="0" xfId="0" applyNumberFormat="1" applyFont="1" applyFill="1"/>
    <xf numFmtId="2" fontId="13" fillId="3" borderId="0" xfId="0" applyNumberFormat="1" applyFont="1" applyFill="1"/>
    <xf numFmtId="0" fontId="12" fillId="3" borderId="8" xfId="0" applyFont="1" applyFill="1" applyBorder="1" applyAlignment="1">
      <alignment horizontal="left"/>
    </xf>
    <xf numFmtId="169" fontId="12" fillId="3" borderId="9" xfId="3" applyNumberFormat="1" applyFont="1" applyFill="1" applyBorder="1" applyAlignment="1">
      <alignment horizontal="center"/>
    </xf>
    <xf numFmtId="171" fontId="13" fillId="3" borderId="10" xfId="0" applyNumberFormat="1" applyFont="1" applyFill="1" applyBorder="1" applyAlignment="1">
      <alignment horizontal="right"/>
    </xf>
    <xf numFmtId="0" fontId="19" fillId="0" borderId="0" xfId="0" quotePrefix="1" applyFont="1"/>
    <xf numFmtId="0" fontId="21" fillId="0" borderId="0" xfId="0" applyFont="1"/>
    <xf numFmtId="165" fontId="0" fillId="0" borderId="0" xfId="0" applyNumberFormat="1"/>
    <xf numFmtId="166" fontId="0" fillId="0" borderId="0" xfId="0" applyNumberFormat="1"/>
    <xf numFmtId="172" fontId="0" fillId="0" borderId="0" xfId="0" applyNumberFormat="1"/>
    <xf numFmtId="172" fontId="16" fillId="0" borderId="0" xfId="0" applyNumberFormat="1" applyFont="1"/>
    <xf numFmtId="0" fontId="21" fillId="0" borderId="0" xfId="0" quotePrefix="1" applyFont="1"/>
    <xf numFmtId="8" fontId="0" fillId="0" borderId="0" xfId="0" applyNumberFormat="1"/>
    <xf numFmtId="0" fontId="16" fillId="0" borderId="0" xfId="0" quotePrefix="1" applyFont="1"/>
    <xf numFmtId="166" fontId="21" fillId="0" borderId="0" xfId="0" applyNumberFormat="1" applyFont="1"/>
    <xf numFmtId="0" fontId="0" fillId="0" borderId="0" xfId="0" quotePrefix="1" applyAlignment="1">
      <alignment horizontal="right"/>
    </xf>
    <xf numFmtId="8" fontId="22" fillId="0" borderId="0" xfId="0" applyNumberFormat="1" applyFont="1"/>
    <xf numFmtId="166" fontId="16" fillId="0" borderId="0" xfId="0" applyNumberFormat="1" applyFont="1"/>
    <xf numFmtId="166" fontId="20" fillId="4" borderId="0" xfId="4" quotePrefix="1" applyNumberFormat="1"/>
    <xf numFmtId="0" fontId="20" fillId="4" borderId="0" xfId="4"/>
    <xf numFmtId="172" fontId="23" fillId="0" borderId="0" xfId="0" applyNumberFormat="1" applyFont="1"/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</cellXfs>
  <cellStyles count="5">
    <cellStyle name="Bueno" xfId="4" builtinId="26"/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214045</xdr:colOff>
      <xdr:row>10</xdr:row>
      <xdr:rowOff>107024</xdr:rowOff>
    </xdr:from>
    <xdr:to>
      <xdr:col>11</xdr:col>
      <xdr:colOff>644767</xdr:colOff>
      <xdr:row>13</xdr:row>
      <xdr:rowOff>3186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6572F2-D138-1C4B-45B8-BDA6B4659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6348" y="2397305"/>
          <a:ext cx="1177247" cy="7269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65"/>
  <sheetViews>
    <sheetView tabSelected="1" topLeftCell="E3" zoomScaleNormal="100" workbookViewId="0">
      <selection activeCell="N26" sqref="N26"/>
    </sheetView>
  </sheetViews>
  <sheetFormatPr baseColWidth="10" defaultRowHeight="12.75" x14ac:dyDescent="0.2"/>
  <cols>
    <col min="1" max="8" width="19.140625" customWidth="1"/>
    <col min="9" max="9" width="14.5703125" customWidth="1"/>
    <col min="13" max="13" width="27.28515625" bestFit="1" customWidth="1"/>
    <col min="14" max="14" width="19.28515625" customWidth="1"/>
    <col min="15" max="18" width="12.85546875" customWidth="1"/>
    <col min="19" max="19" width="42.28515625" bestFit="1" customWidth="1"/>
    <col min="20" max="20" width="25" bestFit="1" customWidth="1"/>
  </cols>
  <sheetData>
    <row r="1" spans="1:28" x14ac:dyDescent="0.2">
      <c r="A1" s="48" t="s">
        <v>44</v>
      </c>
    </row>
    <row r="2" spans="1:28" ht="18.75" x14ac:dyDescent="0.3">
      <c r="A2" s="81" t="s">
        <v>8</v>
      </c>
      <c r="B2" s="81"/>
      <c r="C2" s="81"/>
      <c r="D2" s="81"/>
      <c r="E2" s="81"/>
      <c r="F2" s="81"/>
      <c r="G2" s="81"/>
      <c r="H2" s="1"/>
      <c r="I2" s="1"/>
    </row>
    <row r="3" spans="1:28" ht="18.75" x14ac:dyDescent="0.3">
      <c r="A3" s="81"/>
      <c r="B3" s="81"/>
      <c r="C3" s="81"/>
      <c r="D3" s="81"/>
      <c r="E3" s="81"/>
      <c r="F3" s="81"/>
      <c r="G3" s="81"/>
      <c r="H3" s="1"/>
      <c r="I3" s="1"/>
    </row>
    <row r="4" spans="1:28" ht="18.75" x14ac:dyDescent="0.3">
      <c r="A4" s="1"/>
      <c r="B4" s="1"/>
      <c r="C4" s="1"/>
      <c r="D4" s="1"/>
      <c r="E4" s="1"/>
      <c r="F4" s="1"/>
      <c r="G4" s="1"/>
      <c r="H4" s="1"/>
      <c r="I4" s="1"/>
    </row>
    <row r="5" spans="1:28" ht="18.75" x14ac:dyDescent="0.3">
      <c r="A5" s="82" t="s">
        <v>46</v>
      </c>
      <c r="B5" s="82"/>
      <c r="C5" s="82"/>
      <c r="D5" s="82"/>
      <c r="E5" s="82"/>
      <c r="F5" s="82"/>
      <c r="G5" s="82"/>
      <c r="H5" s="1"/>
      <c r="I5" s="1"/>
    </row>
    <row r="6" spans="1:28" ht="18.75" x14ac:dyDescent="0.3">
      <c r="A6" s="82"/>
      <c r="B6" s="82"/>
      <c r="C6" s="82"/>
      <c r="D6" s="82"/>
      <c r="E6" s="82"/>
      <c r="F6" s="82"/>
      <c r="G6" s="82"/>
      <c r="H6" s="1"/>
      <c r="I6" s="1"/>
    </row>
    <row r="7" spans="1:28" ht="18.75" x14ac:dyDescent="0.3">
      <c r="A7" s="1"/>
      <c r="B7" s="1"/>
      <c r="C7" s="1"/>
      <c r="D7" s="1"/>
      <c r="E7" s="1"/>
      <c r="F7" s="1"/>
      <c r="G7" s="1"/>
      <c r="H7" s="1"/>
      <c r="I7" s="1"/>
    </row>
    <row r="8" spans="1:28" ht="18.75" x14ac:dyDescent="0.3">
      <c r="A8" s="2" t="s">
        <v>11</v>
      </c>
      <c r="B8" s="1"/>
      <c r="C8" s="1"/>
      <c r="D8" s="1"/>
      <c r="E8" s="1"/>
      <c r="F8" s="1"/>
      <c r="G8" s="1"/>
      <c r="H8" s="1"/>
      <c r="I8" t="s">
        <v>64</v>
      </c>
    </row>
    <row r="9" spans="1:28" ht="19.5" thickBot="1" x14ac:dyDescent="0.35">
      <c r="A9" s="3" t="s">
        <v>9</v>
      </c>
      <c r="B9" s="4"/>
      <c r="C9" s="5" t="s">
        <v>28</v>
      </c>
      <c r="D9" s="83" t="s">
        <v>27</v>
      </c>
      <c r="E9" s="83"/>
      <c r="F9" s="83"/>
      <c r="G9" s="84"/>
      <c r="H9" s="1"/>
      <c r="I9" t="s">
        <v>65</v>
      </c>
    </row>
    <row r="10" spans="1:28" ht="18.75" x14ac:dyDescent="0.3">
      <c r="A10" s="3"/>
      <c r="B10" s="4"/>
      <c r="C10" s="6">
        <v>2023</v>
      </c>
      <c r="D10" s="6">
        <f>C10+1</f>
        <v>2024</v>
      </c>
      <c r="E10" s="6">
        <f>D10+1</f>
        <v>2025</v>
      </c>
      <c r="F10" s="6">
        <f>E10+1</f>
        <v>2026</v>
      </c>
      <c r="G10" s="7">
        <f>F10+1</f>
        <v>2027</v>
      </c>
      <c r="H10" s="1"/>
      <c r="X10" s="48" t="s">
        <v>84</v>
      </c>
    </row>
    <row r="11" spans="1:28" ht="23.25" x14ac:dyDescent="0.6">
      <c r="A11" s="3" t="s">
        <v>1</v>
      </c>
      <c r="B11" s="8"/>
      <c r="C11" s="9">
        <v>700</v>
      </c>
      <c r="D11" s="9">
        <v>850</v>
      </c>
      <c r="E11" s="9">
        <v>1000</v>
      </c>
      <c r="F11" s="9">
        <v>1100</v>
      </c>
      <c r="G11" s="10">
        <v>1155</v>
      </c>
      <c r="H11" s="1"/>
      <c r="N11" s="48" t="s">
        <v>70</v>
      </c>
      <c r="O11" s="48" t="s">
        <v>71</v>
      </c>
      <c r="P11" s="48" t="s">
        <v>72</v>
      </c>
      <c r="Q11" s="48" t="s">
        <v>73</v>
      </c>
      <c r="R11" s="48" t="s">
        <v>74</v>
      </c>
      <c r="S11" s="48" t="s">
        <v>88</v>
      </c>
      <c r="T11" s="48" t="s">
        <v>87</v>
      </c>
      <c r="X11">
        <v>2023</v>
      </c>
      <c r="Y11">
        <v>2024</v>
      </c>
      <c r="Z11">
        <v>2025</v>
      </c>
      <c r="AA11">
        <v>2026</v>
      </c>
      <c r="AB11">
        <v>2027</v>
      </c>
    </row>
    <row r="12" spans="1:28" ht="18.75" x14ac:dyDescent="0.3">
      <c r="A12" s="3" t="s">
        <v>4</v>
      </c>
      <c r="B12" s="4"/>
      <c r="C12" s="11">
        <v>599</v>
      </c>
      <c r="D12" s="11">
        <v>734</v>
      </c>
      <c r="E12" s="11">
        <v>911</v>
      </c>
      <c r="F12" s="11">
        <v>935</v>
      </c>
      <c r="G12" s="12">
        <v>982</v>
      </c>
      <c r="H12" s="1"/>
      <c r="I12" t="s">
        <v>66</v>
      </c>
      <c r="J12" s="66" t="s">
        <v>81</v>
      </c>
      <c r="M12" s="66" t="s">
        <v>75</v>
      </c>
      <c r="N12" s="67">
        <f>C15</f>
        <v>73</v>
      </c>
      <c r="O12" s="67">
        <f>D15</f>
        <v>85</v>
      </c>
      <c r="P12" s="67">
        <f>E15</f>
        <v>55</v>
      </c>
      <c r="Q12" s="67">
        <f>F15</f>
        <v>129</v>
      </c>
      <c r="R12" s="67">
        <f>G15</f>
        <v>135</v>
      </c>
      <c r="X12" s="69">
        <f>C31+C34+C33-C40-C42</f>
        <v>212</v>
      </c>
      <c r="Y12" s="69">
        <f>D31+D34+D33-D40-D42</f>
        <v>250</v>
      </c>
      <c r="Z12" s="69">
        <f>E31+E34+E33-E40-E42</f>
        <v>275</v>
      </c>
      <c r="AA12" s="69">
        <f>F31+F34+F33-F40-F42</f>
        <v>289</v>
      </c>
      <c r="AB12" s="69">
        <f>G31+G34+G33-G40-G42</f>
        <v>303</v>
      </c>
    </row>
    <row r="13" spans="1:28" ht="23.25" x14ac:dyDescent="0.6">
      <c r="A13" s="3" t="s">
        <v>2</v>
      </c>
      <c r="B13" s="4"/>
      <c r="C13" s="13">
        <v>28</v>
      </c>
      <c r="D13" s="13">
        <v>31</v>
      </c>
      <c r="E13" s="13">
        <v>34</v>
      </c>
      <c r="F13" s="13">
        <v>36</v>
      </c>
      <c r="G13" s="14">
        <v>38</v>
      </c>
      <c r="H13" s="1"/>
      <c r="I13" s="1"/>
      <c r="J13" s="66"/>
      <c r="M13" s="66" t="s">
        <v>76</v>
      </c>
      <c r="N13">
        <f>1-$H$18</f>
        <v>0.6</v>
      </c>
      <c r="O13">
        <f>1-$H$18</f>
        <v>0.6</v>
      </c>
      <c r="P13">
        <f t="shared" ref="P13:R13" si="0">1-$H$18</f>
        <v>0.6</v>
      </c>
      <c r="Q13">
        <f t="shared" si="0"/>
        <v>0.6</v>
      </c>
      <c r="R13">
        <f t="shared" si="0"/>
        <v>0.6</v>
      </c>
    </row>
    <row r="14" spans="1:28" ht="23.25" x14ac:dyDescent="0.6">
      <c r="A14" s="3" t="s">
        <v>17</v>
      </c>
      <c r="B14" s="4"/>
      <c r="C14" s="9">
        <v>627</v>
      </c>
      <c r="D14" s="9">
        <v>765</v>
      </c>
      <c r="E14" s="9">
        <v>945</v>
      </c>
      <c r="F14" s="9">
        <v>971</v>
      </c>
      <c r="G14" s="10">
        <v>1020</v>
      </c>
      <c r="H14" s="1"/>
      <c r="I14" s="1"/>
      <c r="J14" t="s">
        <v>67</v>
      </c>
      <c r="M14" s="66" t="s">
        <v>77</v>
      </c>
      <c r="N14" s="68">
        <v>28</v>
      </c>
      <c r="O14" s="68">
        <v>31</v>
      </c>
      <c r="P14" s="68">
        <v>34</v>
      </c>
      <c r="Q14" s="68">
        <v>36</v>
      </c>
      <c r="R14" s="68">
        <v>38</v>
      </c>
    </row>
    <row r="15" spans="1:28" ht="18.75" x14ac:dyDescent="0.3">
      <c r="A15" s="41" t="s">
        <v>18</v>
      </c>
      <c r="B15" s="42"/>
      <c r="C15" s="43">
        <v>73</v>
      </c>
      <c r="D15" s="43">
        <v>85</v>
      </c>
      <c r="E15" s="43">
        <v>55</v>
      </c>
      <c r="F15" s="43">
        <v>129</v>
      </c>
      <c r="G15" s="44">
        <v>135</v>
      </c>
      <c r="H15" s="45" t="s">
        <v>10</v>
      </c>
      <c r="I15" s="1"/>
      <c r="J15" t="s">
        <v>68</v>
      </c>
      <c r="M15" s="66" t="s">
        <v>83</v>
      </c>
      <c r="N15" s="68"/>
      <c r="O15" s="68">
        <f>D36+O14-C36</f>
        <v>62</v>
      </c>
      <c r="P15" s="68">
        <f t="shared" ref="P15:R15" si="1">E36+P14-D36</f>
        <v>65</v>
      </c>
      <c r="Q15" s="68">
        <f t="shared" si="1"/>
        <v>53</v>
      </c>
      <c r="R15" s="68">
        <f t="shared" si="1"/>
        <v>56</v>
      </c>
    </row>
    <row r="16" spans="1:28" ht="23.25" x14ac:dyDescent="0.6">
      <c r="A16" s="3" t="s">
        <v>3</v>
      </c>
      <c r="B16" s="4"/>
      <c r="C16" s="13">
        <v>13</v>
      </c>
      <c r="D16" s="13">
        <v>15</v>
      </c>
      <c r="E16" s="13">
        <v>16</v>
      </c>
      <c r="F16" s="13">
        <v>17</v>
      </c>
      <c r="G16" s="14">
        <v>19</v>
      </c>
      <c r="H16" s="1"/>
      <c r="I16" s="1"/>
      <c r="J16" t="s">
        <v>69</v>
      </c>
      <c r="M16" s="66" t="s">
        <v>78</v>
      </c>
      <c r="N16" s="69"/>
      <c r="O16" s="69">
        <f>Y12-X12</f>
        <v>38</v>
      </c>
      <c r="P16" s="69">
        <f>Z12-Y12</f>
        <v>25</v>
      </c>
      <c r="Q16" s="69">
        <f>AA12-Z12</f>
        <v>14</v>
      </c>
      <c r="R16" s="69">
        <f>AB12-AA12</f>
        <v>14</v>
      </c>
    </row>
    <row r="17" spans="1:25" ht="18.75" x14ac:dyDescent="0.3">
      <c r="A17" s="3" t="s">
        <v>19</v>
      </c>
      <c r="B17" s="4"/>
      <c r="C17" s="11">
        <v>60</v>
      </c>
      <c r="D17" s="11">
        <v>70</v>
      </c>
      <c r="E17" s="11">
        <v>39</v>
      </c>
      <c r="F17" s="11">
        <v>112</v>
      </c>
      <c r="G17" s="12">
        <v>116</v>
      </c>
      <c r="H17" s="1"/>
      <c r="I17" s="1"/>
      <c r="M17" s="66" t="s">
        <v>79</v>
      </c>
      <c r="N17">
        <v>0.1084</v>
      </c>
      <c r="O17">
        <v>0.1084</v>
      </c>
      <c r="P17">
        <v>0.1084</v>
      </c>
      <c r="Q17">
        <v>0.1084</v>
      </c>
      <c r="R17">
        <v>0.1084</v>
      </c>
    </row>
    <row r="18" spans="1:25" ht="23.25" x14ac:dyDescent="0.6">
      <c r="A18" s="3" t="s">
        <v>5</v>
      </c>
      <c r="B18" s="4"/>
      <c r="C18" s="13">
        <v>24</v>
      </c>
      <c r="D18" s="13">
        <v>28</v>
      </c>
      <c r="E18" s="13">
        <v>15.6</v>
      </c>
      <c r="F18" s="13">
        <v>44.8</v>
      </c>
      <c r="G18" s="14">
        <v>46.4</v>
      </c>
      <c r="H18" s="1">
        <v>0.4</v>
      </c>
      <c r="I18" s="1"/>
      <c r="M18" s="66" t="s">
        <v>80</v>
      </c>
      <c r="N18" s="76">
        <f>NPV(0.1084,O18:R18)</f>
        <v>31.578140372942659</v>
      </c>
      <c r="O18" s="69">
        <f>(O12*O13+O14-O15-O16)</f>
        <v>-18</v>
      </c>
      <c r="P18" s="69">
        <f t="shared" ref="P18:R18" si="2">(P12*P13+P14-P15-P16)</f>
        <v>-23</v>
      </c>
      <c r="Q18" s="69">
        <f t="shared" si="2"/>
        <v>46.399999999999991</v>
      </c>
      <c r="R18" s="69">
        <f t="shared" si="2"/>
        <v>49</v>
      </c>
    </row>
    <row r="19" spans="1:25" ht="18.75" x14ac:dyDescent="0.3">
      <c r="A19" s="3" t="s">
        <v>20</v>
      </c>
      <c r="B19" s="4"/>
      <c r="C19" s="15">
        <v>36</v>
      </c>
      <c r="D19" s="15">
        <v>42</v>
      </c>
      <c r="E19" s="15">
        <v>23.4</v>
      </c>
      <c r="F19" s="15">
        <v>67.2</v>
      </c>
      <c r="G19" s="16">
        <v>69.599999999999994</v>
      </c>
      <c r="H19" s="1"/>
      <c r="I19" s="1"/>
      <c r="M19" s="48" t="s">
        <v>86</v>
      </c>
      <c r="N19" s="48"/>
      <c r="O19" s="70">
        <f>(O12*O13+O14-O15-O16)/(1+O17)^1</f>
        <v>-16.239624684229518</v>
      </c>
      <c r="P19" s="70">
        <f>(P12*P13+P14-P15-P16)/(1+P17)^2</f>
        <v>-18.721248232551371</v>
      </c>
      <c r="Q19" s="70">
        <f>(Q12*Q13+Q14-Q15-Q16)/(1+Q17)^3</f>
        <v>34.074416628370834</v>
      </c>
      <c r="R19" s="70">
        <f>(R12*R13+R14-R15-R16)/(1+R17)^4</f>
        <v>32.464596661352708</v>
      </c>
      <c r="S19" s="80">
        <f>R19*1.05</f>
        <v>34.087826494420348</v>
      </c>
      <c r="T19" s="70">
        <v>583.6956591510334</v>
      </c>
    </row>
    <row r="20" spans="1:25" ht="23.25" x14ac:dyDescent="0.6">
      <c r="A20" s="3" t="s">
        <v>21</v>
      </c>
      <c r="B20" s="18"/>
      <c r="C20" s="13">
        <v>6</v>
      </c>
      <c r="D20" s="13">
        <v>7</v>
      </c>
      <c r="E20" s="13">
        <v>7.4</v>
      </c>
      <c r="F20" s="13">
        <v>8</v>
      </c>
      <c r="G20" s="14">
        <v>8.3000000000000007</v>
      </c>
      <c r="H20" s="1"/>
      <c r="I20" s="1"/>
      <c r="M20" s="66"/>
      <c r="O20" s="69"/>
      <c r="P20" s="69"/>
      <c r="Q20" s="69"/>
      <c r="R20" s="69"/>
      <c r="U20" s="68"/>
    </row>
    <row r="21" spans="1:25" ht="21" x14ac:dyDescent="0.45">
      <c r="A21" s="3" t="s">
        <v>22</v>
      </c>
      <c r="B21" s="4"/>
      <c r="C21" s="19">
        <v>30</v>
      </c>
      <c r="D21" s="19">
        <v>35</v>
      </c>
      <c r="E21" s="19">
        <v>16</v>
      </c>
      <c r="F21" s="19">
        <v>59.2</v>
      </c>
      <c r="G21" s="20">
        <v>61.3</v>
      </c>
      <c r="H21" s="1"/>
      <c r="I21" s="1"/>
      <c r="M21" s="66" t="s">
        <v>67</v>
      </c>
      <c r="N21" s="68">
        <f>C41+C44</f>
        <v>247</v>
      </c>
      <c r="O21" s="68"/>
      <c r="P21" s="68"/>
      <c r="R21" s="75" t="s">
        <v>92</v>
      </c>
      <c r="S21" t="s">
        <v>91</v>
      </c>
      <c r="T21" s="69">
        <f>S19/(S22-S23)</f>
        <v>583.6956591510334</v>
      </c>
    </row>
    <row r="22" spans="1:25" ht="18.75" x14ac:dyDescent="0.3">
      <c r="A22" s="3" t="s">
        <v>23</v>
      </c>
      <c r="B22" s="4"/>
      <c r="C22" s="11">
        <v>0</v>
      </c>
      <c r="D22" s="11">
        <v>0</v>
      </c>
      <c r="E22" s="11">
        <v>0</v>
      </c>
      <c r="F22" s="11">
        <v>44.2</v>
      </c>
      <c r="G22" s="12">
        <v>45.3</v>
      </c>
      <c r="H22" s="1"/>
      <c r="I22" s="1"/>
      <c r="M22" s="66" t="s">
        <v>69</v>
      </c>
      <c r="N22" s="68">
        <f>C45</f>
        <v>62</v>
      </c>
      <c r="O22" s="68"/>
      <c r="P22" s="68"/>
      <c r="R22" t="s">
        <v>79</v>
      </c>
      <c r="S22">
        <v>0.1084</v>
      </c>
    </row>
    <row r="23" spans="1:25" ht="18.75" x14ac:dyDescent="0.3">
      <c r="A23" s="3" t="s">
        <v>24</v>
      </c>
      <c r="B23" s="4"/>
      <c r="C23" s="11">
        <v>30</v>
      </c>
      <c r="D23" s="11">
        <v>35</v>
      </c>
      <c r="E23" s="11">
        <v>16</v>
      </c>
      <c r="F23" s="11">
        <v>15</v>
      </c>
      <c r="G23" s="12">
        <v>16</v>
      </c>
      <c r="H23" s="1"/>
      <c r="I23" s="1"/>
      <c r="M23" s="66" t="s">
        <v>82</v>
      </c>
      <c r="N23" s="68">
        <f>C32</f>
        <v>63</v>
      </c>
      <c r="O23" s="68"/>
      <c r="R23" t="s">
        <v>85</v>
      </c>
      <c r="S23">
        <v>0.05</v>
      </c>
    </row>
    <row r="24" spans="1:25" ht="18.75" x14ac:dyDescent="0.3">
      <c r="A24" s="3"/>
      <c r="B24" s="4"/>
      <c r="C24" s="21"/>
      <c r="D24" s="21"/>
      <c r="E24" s="21"/>
      <c r="F24" s="21"/>
      <c r="G24" s="22"/>
      <c r="H24" s="1"/>
      <c r="I24" s="1"/>
      <c r="N24" s="74"/>
      <c r="O24" s="74"/>
      <c r="P24" s="74"/>
    </row>
    <row r="25" spans="1:25" ht="18.75" x14ac:dyDescent="0.3">
      <c r="A25" s="3" t="s">
        <v>26</v>
      </c>
      <c r="B25" s="4"/>
      <c r="C25" s="23">
        <v>100</v>
      </c>
      <c r="D25" s="23">
        <v>100</v>
      </c>
      <c r="E25" s="23">
        <v>100</v>
      </c>
      <c r="F25" s="23">
        <v>100</v>
      </c>
      <c r="G25" s="24">
        <v>100</v>
      </c>
      <c r="H25" s="1"/>
      <c r="I25" s="1"/>
      <c r="M25" t="s">
        <v>90</v>
      </c>
      <c r="N25" s="68">
        <f>O19+P19+Q19+R19+T19-N21-N22+N23</f>
        <v>369.27379952397609</v>
      </c>
      <c r="O25" s="77"/>
      <c r="W25" s="69"/>
      <c r="X25" s="69"/>
      <c r="Y25" s="69"/>
    </row>
    <row r="26" spans="1:25" ht="19.5" thickBot="1" x14ac:dyDescent="0.35">
      <c r="A26" s="3" t="s">
        <v>25</v>
      </c>
      <c r="B26" s="4"/>
      <c r="C26" s="25">
        <v>0</v>
      </c>
      <c r="D26" s="25">
        <v>0</v>
      </c>
      <c r="E26" s="25">
        <v>0</v>
      </c>
      <c r="F26" s="25">
        <v>0.44199999999999989</v>
      </c>
      <c r="G26" s="26">
        <v>0.45299999999999996</v>
      </c>
      <c r="H26" s="1"/>
      <c r="I26" s="1"/>
      <c r="M26" s="78" t="s">
        <v>89</v>
      </c>
      <c r="N26" s="79">
        <f>N25/C25</f>
        <v>3.692737995239761</v>
      </c>
    </row>
    <row r="27" spans="1:25" ht="19.5" thickBot="1" x14ac:dyDescent="0.35">
      <c r="A27" s="27"/>
      <c r="B27" s="28"/>
      <c r="C27" s="29"/>
      <c r="D27" s="29"/>
      <c r="E27" s="29"/>
      <c r="F27" s="29"/>
      <c r="G27" s="29"/>
      <c r="H27" s="1"/>
      <c r="I27" s="1"/>
      <c r="M27" s="66"/>
    </row>
    <row r="28" spans="1:25" ht="18.75" x14ac:dyDescent="0.3">
      <c r="A28" s="30" t="s">
        <v>12</v>
      </c>
      <c r="B28" s="4"/>
      <c r="C28" s="25"/>
      <c r="D28" s="25"/>
      <c r="E28" s="25"/>
      <c r="F28" s="25"/>
      <c r="G28" s="26"/>
      <c r="H28" s="1"/>
      <c r="I28" s="1"/>
      <c r="M28" s="66"/>
      <c r="N28" s="71"/>
    </row>
    <row r="29" spans="1:25" ht="19.5" thickBot="1" x14ac:dyDescent="0.35">
      <c r="A29" s="3" t="s">
        <v>13</v>
      </c>
      <c r="B29" s="4"/>
      <c r="C29" s="31" t="s">
        <v>28</v>
      </c>
      <c r="D29" s="83" t="s">
        <v>27</v>
      </c>
      <c r="E29" s="83"/>
      <c r="F29" s="83"/>
      <c r="G29" s="84"/>
      <c r="H29" s="1"/>
      <c r="I29" s="1"/>
      <c r="M29" s="66"/>
      <c r="N29" s="71"/>
    </row>
    <row r="30" spans="1:25" ht="18.75" x14ac:dyDescent="0.3">
      <c r="A30" s="3"/>
      <c r="B30" s="4"/>
      <c r="C30" s="6">
        <f>C10</f>
        <v>2023</v>
      </c>
      <c r="D30" s="6">
        <f>D10</f>
        <v>2024</v>
      </c>
      <c r="E30" s="6">
        <f>E10</f>
        <v>2025</v>
      </c>
      <c r="F30" s="6">
        <f>F10</f>
        <v>2026</v>
      </c>
      <c r="G30" s="7">
        <f>G10</f>
        <v>2027</v>
      </c>
      <c r="H30" s="1"/>
      <c r="I30" s="1"/>
      <c r="M30" s="48"/>
      <c r="N30" s="73"/>
      <c r="O30" s="48"/>
    </row>
    <row r="31" spans="1:25" ht="18.75" x14ac:dyDescent="0.3">
      <c r="A31" s="3" t="s">
        <v>0</v>
      </c>
      <c r="B31" s="4"/>
      <c r="C31" s="11">
        <v>17</v>
      </c>
      <c r="D31" s="11">
        <v>20</v>
      </c>
      <c r="E31" s="11">
        <v>22</v>
      </c>
      <c r="F31" s="11">
        <v>23</v>
      </c>
      <c r="G31" s="12">
        <v>24</v>
      </c>
      <c r="H31" s="1"/>
      <c r="I31" s="1"/>
    </row>
    <row r="32" spans="1:25" ht="18.75" x14ac:dyDescent="0.3">
      <c r="A32" s="3" t="s">
        <v>29</v>
      </c>
      <c r="B32" s="8"/>
      <c r="C32" s="39">
        <v>63</v>
      </c>
      <c r="D32" s="32">
        <v>70</v>
      </c>
      <c r="E32" s="32">
        <v>80</v>
      </c>
      <c r="F32" s="32">
        <v>84</v>
      </c>
      <c r="G32" s="33">
        <v>88</v>
      </c>
      <c r="H32" s="1" t="s">
        <v>16</v>
      </c>
      <c r="I32" s="1"/>
      <c r="K32" s="65" t="s">
        <v>62</v>
      </c>
    </row>
    <row r="33" spans="1:11" ht="18.75" x14ac:dyDescent="0.3">
      <c r="A33" s="3" t="s">
        <v>30</v>
      </c>
      <c r="B33" s="4"/>
      <c r="C33" s="32">
        <v>85</v>
      </c>
      <c r="D33" s="32">
        <v>100</v>
      </c>
      <c r="E33" s="32">
        <v>110</v>
      </c>
      <c r="F33" s="32">
        <v>116</v>
      </c>
      <c r="G33" s="33">
        <v>121</v>
      </c>
      <c r="H33" s="1"/>
      <c r="I33" s="1"/>
    </row>
    <row r="34" spans="1:11" ht="23.25" x14ac:dyDescent="0.6">
      <c r="A34" s="3" t="s">
        <v>31</v>
      </c>
      <c r="B34" s="4"/>
      <c r="C34" s="13">
        <v>170</v>
      </c>
      <c r="D34" s="13">
        <v>200</v>
      </c>
      <c r="E34" s="13">
        <v>220</v>
      </c>
      <c r="F34" s="13">
        <v>231</v>
      </c>
      <c r="G34" s="14">
        <v>243</v>
      </c>
      <c r="H34" s="1"/>
      <c r="I34" s="1"/>
    </row>
    <row r="35" spans="1:11" ht="18.75" x14ac:dyDescent="0.3">
      <c r="A35" s="3" t="s">
        <v>32</v>
      </c>
      <c r="B35" s="4"/>
      <c r="C35" s="11">
        <v>335</v>
      </c>
      <c r="D35" s="11">
        <v>390</v>
      </c>
      <c r="E35" s="11">
        <v>432</v>
      </c>
      <c r="F35" s="11">
        <v>454</v>
      </c>
      <c r="G35" s="12">
        <v>476</v>
      </c>
      <c r="H35" s="1"/>
      <c r="I35" s="1"/>
    </row>
    <row r="36" spans="1:11" ht="23.25" x14ac:dyDescent="0.6">
      <c r="A36" s="41" t="s">
        <v>33</v>
      </c>
      <c r="B36" s="42"/>
      <c r="C36" s="46">
        <v>279</v>
      </c>
      <c r="D36" s="46">
        <v>310</v>
      </c>
      <c r="E36" s="46">
        <v>341</v>
      </c>
      <c r="F36" s="46">
        <v>358</v>
      </c>
      <c r="G36" s="47">
        <v>376</v>
      </c>
      <c r="H36" s="17" t="s">
        <v>6</v>
      </c>
      <c r="I36" s="1" t="s">
        <v>14</v>
      </c>
    </row>
    <row r="37" spans="1:11" ht="21" x14ac:dyDescent="0.45">
      <c r="A37" s="3" t="s">
        <v>34</v>
      </c>
      <c r="B37" s="4"/>
      <c r="C37" s="19">
        <v>614</v>
      </c>
      <c r="D37" s="19">
        <v>700</v>
      </c>
      <c r="E37" s="19">
        <v>773</v>
      </c>
      <c r="F37" s="19">
        <v>812</v>
      </c>
      <c r="G37" s="20">
        <v>852</v>
      </c>
      <c r="H37" s="1"/>
      <c r="I37" s="1"/>
    </row>
    <row r="38" spans="1:11" ht="18.75" x14ac:dyDescent="0.3">
      <c r="A38" s="3"/>
      <c r="B38" s="4"/>
      <c r="C38" s="18"/>
      <c r="D38" s="18"/>
      <c r="E38" s="18"/>
      <c r="F38" s="18"/>
      <c r="G38" s="34"/>
      <c r="H38" s="1"/>
      <c r="I38" s="1"/>
    </row>
    <row r="39" spans="1:11" ht="18.75" x14ac:dyDescent="0.3">
      <c r="A39" s="3" t="s">
        <v>35</v>
      </c>
      <c r="B39" s="4"/>
      <c r="C39" s="18"/>
      <c r="D39" s="18"/>
      <c r="E39" s="18"/>
      <c r="F39" s="18"/>
      <c r="G39" s="34"/>
      <c r="H39" s="1"/>
      <c r="I39" s="1"/>
    </row>
    <row r="40" spans="1:11" ht="18.75" x14ac:dyDescent="0.3">
      <c r="A40" s="3" t="s">
        <v>36</v>
      </c>
      <c r="B40" s="4"/>
      <c r="C40" s="11">
        <v>16</v>
      </c>
      <c r="D40" s="11">
        <v>20</v>
      </c>
      <c r="E40" s="11">
        <v>22</v>
      </c>
      <c r="F40" s="11">
        <v>23</v>
      </c>
      <c r="G40" s="12">
        <v>24</v>
      </c>
      <c r="H40" s="1"/>
      <c r="I40" s="1"/>
    </row>
    <row r="41" spans="1:11" ht="18.75" x14ac:dyDescent="0.3">
      <c r="A41" s="3" t="s">
        <v>37</v>
      </c>
      <c r="B41" s="8"/>
      <c r="C41" s="40">
        <v>123</v>
      </c>
      <c r="D41" s="32">
        <v>140</v>
      </c>
      <c r="E41" s="32">
        <v>160</v>
      </c>
      <c r="F41" s="32">
        <v>168</v>
      </c>
      <c r="G41" s="33">
        <v>176</v>
      </c>
      <c r="H41" s="1" t="s">
        <v>16</v>
      </c>
      <c r="I41" s="1"/>
      <c r="K41" s="65" t="s">
        <v>63</v>
      </c>
    </row>
    <row r="42" spans="1:11" ht="23.25" x14ac:dyDescent="0.6">
      <c r="A42" s="3" t="s">
        <v>38</v>
      </c>
      <c r="B42" s="4"/>
      <c r="C42" s="13">
        <v>44</v>
      </c>
      <c r="D42" s="13">
        <v>50</v>
      </c>
      <c r="E42" s="13">
        <v>55</v>
      </c>
      <c r="F42" s="13">
        <v>58</v>
      </c>
      <c r="G42" s="14">
        <v>61</v>
      </c>
      <c r="H42" s="1"/>
      <c r="I42" s="1"/>
    </row>
    <row r="43" spans="1:11" ht="18.75" x14ac:dyDescent="0.3">
      <c r="A43" s="3" t="s">
        <v>32</v>
      </c>
      <c r="B43" s="4"/>
      <c r="C43" s="11">
        <v>183</v>
      </c>
      <c r="D43" s="11">
        <v>210</v>
      </c>
      <c r="E43" s="11">
        <v>237</v>
      </c>
      <c r="F43" s="11">
        <v>249</v>
      </c>
      <c r="G43" s="12">
        <v>261</v>
      </c>
      <c r="H43" s="1"/>
      <c r="I43" s="1"/>
    </row>
    <row r="44" spans="1:11" ht="18.75" x14ac:dyDescent="0.3">
      <c r="A44" s="3" t="s">
        <v>39</v>
      </c>
      <c r="B44" s="8"/>
      <c r="C44" s="40">
        <v>124</v>
      </c>
      <c r="D44" s="32">
        <v>140</v>
      </c>
      <c r="E44" s="32">
        <v>160</v>
      </c>
      <c r="F44" s="32">
        <v>168</v>
      </c>
      <c r="G44" s="33">
        <v>176</v>
      </c>
      <c r="H44" s="1" t="s">
        <v>45</v>
      </c>
      <c r="I44" s="1"/>
    </row>
    <row r="45" spans="1:11" ht="23.25" x14ac:dyDescent="0.6">
      <c r="A45" s="3" t="s">
        <v>40</v>
      </c>
      <c r="B45" s="8"/>
      <c r="C45" s="13">
        <v>62</v>
      </c>
      <c r="D45" s="13">
        <v>70</v>
      </c>
      <c r="E45" s="13">
        <v>80</v>
      </c>
      <c r="F45" s="13">
        <v>84</v>
      </c>
      <c r="G45" s="14">
        <v>88</v>
      </c>
      <c r="H45" s="1"/>
      <c r="I45" s="1"/>
    </row>
    <row r="46" spans="1:11" ht="18.75" x14ac:dyDescent="0.3">
      <c r="A46" s="3" t="s">
        <v>41</v>
      </c>
      <c r="B46" s="8"/>
      <c r="C46" s="11">
        <v>200</v>
      </c>
      <c r="D46" s="11">
        <v>200</v>
      </c>
      <c r="E46" s="11">
        <v>200</v>
      </c>
      <c r="F46" s="11">
        <v>200</v>
      </c>
      <c r="G46" s="12">
        <v>200</v>
      </c>
      <c r="H46" s="1"/>
      <c r="I46" s="1"/>
    </row>
    <row r="47" spans="1:11" ht="23.25" x14ac:dyDescent="0.6">
      <c r="A47" s="3" t="s">
        <v>42</v>
      </c>
      <c r="B47" s="8"/>
      <c r="C47" s="13">
        <v>45</v>
      </c>
      <c r="D47" s="13">
        <v>80</v>
      </c>
      <c r="E47" s="13">
        <v>96</v>
      </c>
      <c r="F47" s="13">
        <v>111</v>
      </c>
      <c r="G47" s="14">
        <v>127</v>
      </c>
      <c r="H47" s="1"/>
      <c r="I47" s="1"/>
    </row>
    <row r="48" spans="1:11" ht="18.75" x14ac:dyDescent="0.3">
      <c r="A48" s="3" t="s">
        <v>43</v>
      </c>
      <c r="B48" s="4"/>
      <c r="C48" s="11">
        <v>245</v>
      </c>
      <c r="D48" s="11">
        <v>280</v>
      </c>
      <c r="E48" s="11">
        <v>296</v>
      </c>
      <c r="F48" s="11">
        <v>311</v>
      </c>
      <c r="G48" s="12">
        <v>327</v>
      </c>
      <c r="H48" s="1"/>
      <c r="I48" s="1"/>
    </row>
    <row r="49" spans="1:9" ht="21.75" thickBot="1" x14ac:dyDescent="0.5">
      <c r="A49" s="35" t="s">
        <v>7</v>
      </c>
      <c r="B49" s="36"/>
      <c r="C49" s="37">
        <v>614</v>
      </c>
      <c r="D49" s="37">
        <v>700</v>
      </c>
      <c r="E49" s="37">
        <v>773</v>
      </c>
      <c r="F49" s="37">
        <v>812</v>
      </c>
      <c r="G49" s="38">
        <v>852</v>
      </c>
      <c r="H49" s="1"/>
      <c r="I49" s="1"/>
    </row>
    <row r="51" spans="1:9" ht="18.75" x14ac:dyDescent="0.3">
      <c r="A51" s="4" t="s">
        <v>15</v>
      </c>
    </row>
    <row r="54" spans="1:9" ht="15" x14ac:dyDescent="0.3">
      <c r="A54" s="49" t="s">
        <v>57</v>
      </c>
      <c r="B54" s="50"/>
      <c r="C54" s="50"/>
      <c r="D54" s="50"/>
      <c r="E54" s="50"/>
      <c r="F54" s="50"/>
      <c r="G54" s="50"/>
    </row>
    <row r="55" spans="1:9" ht="15" x14ac:dyDescent="0.3">
      <c r="A55" s="50"/>
      <c r="B55" s="50"/>
      <c r="C55" s="50"/>
      <c r="D55" s="50"/>
      <c r="E55" s="50"/>
      <c r="F55" s="50"/>
      <c r="G55" s="50"/>
    </row>
    <row r="56" spans="1:9" ht="13.5" thickBot="1" x14ac:dyDescent="0.25">
      <c r="A56" s="51" t="s">
        <v>50</v>
      </c>
      <c r="B56" s="52"/>
      <c r="C56" s="53" t="s">
        <v>47</v>
      </c>
      <c r="D56" s="85" t="s">
        <v>48</v>
      </c>
      <c r="E56" s="85"/>
      <c r="F56" s="85"/>
      <c r="G56" s="85"/>
    </row>
    <row r="57" spans="1:9" x14ac:dyDescent="0.2">
      <c r="A57" s="52" t="s">
        <v>49</v>
      </c>
      <c r="B57" s="52"/>
      <c r="C57" s="54">
        <v>2023</v>
      </c>
      <c r="D57" s="54">
        <v>2024</v>
      </c>
      <c r="E57" s="54">
        <v>2025</v>
      </c>
      <c r="F57" s="54">
        <v>2026</v>
      </c>
      <c r="G57" s="54">
        <v>2027</v>
      </c>
    </row>
    <row r="58" spans="1:9" x14ac:dyDescent="0.2">
      <c r="A58" s="52" t="s">
        <v>25</v>
      </c>
      <c r="B58" s="52"/>
      <c r="C58" s="55"/>
      <c r="D58" s="55">
        <v>0</v>
      </c>
      <c r="E58" s="55">
        <v>0</v>
      </c>
      <c r="F58" s="55">
        <v>0.442</v>
      </c>
      <c r="G58" s="55">
        <v>0.45300000000000001</v>
      </c>
    </row>
    <row r="59" spans="1:9" x14ac:dyDescent="0.2">
      <c r="A59" s="52" t="s">
        <v>51</v>
      </c>
      <c r="B59" s="52"/>
      <c r="C59" s="56">
        <v>0.14000000000000001</v>
      </c>
      <c r="D59" s="57" t="s">
        <v>59</v>
      </c>
      <c r="E59" s="57"/>
      <c r="F59" s="57"/>
      <c r="G59" s="57"/>
    </row>
    <row r="60" spans="1:9" x14ac:dyDescent="0.2">
      <c r="A60" s="52" t="s">
        <v>52</v>
      </c>
      <c r="B60" s="52"/>
      <c r="C60" s="56">
        <v>0.05</v>
      </c>
      <c r="D60" s="57"/>
      <c r="E60" s="57"/>
      <c r="F60" s="57"/>
      <c r="G60" s="57"/>
    </row>
    <row r="61" spans="1:9" ht="14.25" x14ac:dyDescent="0.25">
      <c r="A61" s="52" t="s">
        <v>60</v>
      </c>
      <c r="B61" s="52"/>
      <c r="C61" s="57"/>
      <c r="D61" s="57"/>
      <c r="E61" s="57"/>
      <c r="F61" s="57"/>
      <c r="G61" s="58">
        <f>(G58*(1+C60))/(C59-C60)</f>
        <v>5.2849999999999993</v>
      </c>
    </row>
    <row r="62" spans="1:9" x14ac:dyDescent="0.2">
      <c r="A62" s="52" t="s">
        <v>61</v>
      </c>
      <c r="B62" s="52"/>
      <c r="C62" s="59">
        <f>-PV(C59,4,0,G61)</f>
        <v>3.1291442659014508</v>
      </c>
      <c r="D62" s="57" t="s">
        <v>55</v>
      </c>
      <c r="E62" s="57"/>
      <c r="F62" s="57"/>
      <c r="G62" s="58"/>
      <c r="H62" s="72"/>
    </row>
    <row r="63" spans="1:9" x14ac:dyDescent="0.2">
      <c r="A63" s="52" t="s">
        <v>56</v>
      </c>
      <c r="B63" s="52"/>
      <c r="C63" s="60">
        <f>NPV(C59,D58:G58)</f>
        <v>0.566549775809987</v>
      </c>
      <c r="D63" s="61" t="s">
        <v>54</v>
      </c>
      <c r="E63" s="61"/>
      <c r="F63" s="61"/>
      <c r="G63" s="61"/>
    </row>
    <row r="64" spans="1:9" ht="13.5" thickBot="1" x14ac:dyDescent="0.25">
      <c r="A64" s="52"/>
      <c r="B64" s="52"/>
      <c r="C64" s="60"/>
      <c r="D64" s="61"/>
      <c r="E64" s="61"/>
      <c r="F64" s="61"/>
      <c r="G64" s="61"/>
    </row>
    <row r="65" spans="1:7" ht="13.5" thickBot="1" x14ac:dyDescent="0.25">
      <c r="A65" s="62" t="s">
        <v>58</v>
      </c>
      <c r="B65" s="63"/>
      <c r="C65" s="64">
        <f>C62+C63</f>
        <v>3.6956940417114379</v>
      </c>
      <c r="D65" s="57" t="s">
        <v>53</v>
      </c>
      <c r="E65" s="57" t="s">
        <v>53</v>
      </c>
      <c r="F65" s="57"/>
      <c r="G65" s="57"/>
    </row>
  </sheetData>
  <mergeCells count="5">
    <mergeCell ref="A2:G3"/>
    <mergeCell ref="A5:G6"/>
    <mergeCell ref="D9:G9"/>
    <mergeCell ref="D29:G29"/>
    <mergeCell ref="D56:G56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>
  <LongProp xmlns="" name="Eliminar"><![CDATA[if(confirm('Esta seguro?')){SubmitFormPost('/grado/61.50/_vti_bin/owssvr.dll?CS=65001&Cmd=Delete&List={56e487ff-8531-4ca9-91c4-f82d89e5e98e}&ID=242&owsfileref=/grado/61.50/Material Didctico/Apuntes/Archivo 01 VALOR.xls&NextUsing=/grado/61.50/Material Didctico/Apuntes/')}]]></LongProp>
</Long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86B733B94E49747934C94CB5E335A69" ma:contentTypeVersion="8" ma:contentTypeDescription="Crear nuevo documento." ma:contentTypeScope="" ma:versionID="c88521d7fa7faec8284e6c706ba23e84">
  <xsd:schema xmlns:xsd="http://www.w3.org/2001/XMLSchema" xmlns:p="http://schemas.microsoft.com/office/2006/metadata/properties" xmlns:ns2="56e487ff-8531-4ca9-91c4-f82d89e5e98e" xmlns:ns3="c9260321-2f47-4675-b46b-f8e3f10ea3c9" targetNamespace="http://schemas.microsoft.com/office/2006/metadata/properties" ma:root="true" ma:fieldsID="6e388447d1e87439b3bf8366ba3baa06" ns2:_="" ns3:_="">
    <xsd:import namespace="56e487ff-8531-4ca9-91c4-f82d89e5e98e"/>
    <xsd:import namespace="c9260321-2f47-4675-b46b-f8e3f10ea3c9"/>
    <xsd:element name="properties">
      <xsd:complexType>
        <xsd:sequence>
          <xsd:element name="documentManagement">
            <xsd:complexType>
              <xsd:all>
                <xsd:element ref="ns2:Vigente_x0020_Desde0" minOccurs="0"/>
                <xsd:element ref="ns3:Vigente_x0020_Hasta" minOccurs="0"/>
                <xsd:element ref="ns2:Descargar" minOccurs="0"/>
                <xsd:element ref="ns2:Elimina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56e487ff-8531-4ca9-91c4-f82d89e5e98e" elementFormDefault="qualified">
    <xsd:import namespace="http://schemas.microsoft.com/office/2006/documentManagement/types"/>
    <xsd:element name="Vigente_x0020_Desde0" ma:index="1" nillable="true" ma:displayName="Vigente Desde" ma:default="[today]" ma:format="DateOnly" ma:internalName="Vigente_x0020_Desde0">
      <xsd:simpleType>
        <xsd:restriction base="dms:DateTime"/>
      </xsd:simpleType>
    </xsd:element>
    <xsd:element name="Descargar" ma:index="10" nillable="true" ma:displayName="Descargar" ma:internalName="Descargar">
      <xsd:simpleType>
        <xsd:restriction base="dms:Unknown"/>
      </xsd:simpleType>
    </xsd:element>
    <xsd:element name="Eliminar" ma:index="11" nillable="true" ma:displayName="Eliminar" ma:internalName="Eliminar">
      <xsd:simpleType>
        <xsd:restriction base="dms:Unknown"/>
      </xsd:simpleType>
    </xsd:element>
  </xsd:schema>
  <xsd:schema xmlns:xsd="http://www.w3.org/2001/XMLSchema" xmlns:dms="http://schemas.microsoft.com/office/2006/documentManagement/types" targetNamespace="c9260321-2f47-4675-b46b-f8e3f10ea3c9" elementFormDefault="qualified">
    <xsd:import namespace="http://schemas.microsoft.com/office/2006/documentManagement/types"/>
    <xsd:element name="Vigente_x0020_Hasta" ma:index="2" nillable="true" ma:displayName="Vigente Hasta" ma:format="DateOnly" ma:internalName="Vigente_x0020_Hasta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Tipo de contenido" ma:readOnly="true"/>
        <xsd:element ref="dc:title" minOccurs="0" maxOccurs="1" ma:index="0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igente_x0020_Desde0 xmlns="56e487ff-8531-4ca9-91c4-f82d89e5e98e">2007-07-29T00:00:00Z</Vigente_x0020_Desde0>
    <Eliminar xmlns="56e487ff-8531-4ca9-91c4-f82d89e5e98e">if(confirm('Esta seguro?')){SubmitFormPost('/grado/61.50/_vti_bin/owssvr.dll?CS=65001&amp;Cmd=Delete&amp;List={56e487ff-8531-4ca9-91c4-f82d89e5e98e}&amp;ID=242&amp;owsfileref=/grado/61.50/Material Didctico/Apuntes/Archivo 01 VALOR.xls&amp;NextUsing=/grado/61.50/Material Didctico/Apuntes/')}</Eliminar>
    <Descargar xmlns="56e487ff-8531-4ca9-91c4-f82d89e5e98e">/grado/61.50/_layouts/download.aspx?SourceUrl=/grado/61.50/Material Didctico/Apuntes/Archivo 01 VALOR.xls&amp;Source= &amp;FldUrl=/grado/61.50/Material Didctico/Apuntes/Archivo 01 VALOR.xls</Descargar>
    <Vigente_x0020_Hasta xmlns="c9260321-2f47-4675-b46b-f8e3f10ea3c9">2020-12-30T00:00:00Z</Vigente_x0020_Hasta>
  </documentManagement>
</p:properties>
</file>

<file path=customXml/itemProps1.xml><?xml version="1.0" encoding="utf-8"?>
<ds:datastoreItem xmlns:ds="http://schemas.openxmlformats.org/officeDocument/2006/customXml" ds:itemID="{3D6FFD87-9E3C-4D83-960C-C65077531C6A}">
  <ds:schemaRefs>
    <ds:schemaRef ds:uri="http://schemas.microsoft.com/office/2006/metadata/longProperties"/>
    <ds:schemaRef ds:uri=""/>
  </ds:schemaRefs>
</ds:datastoreItem>
</file>

<file path=customXml/itemProps2.xml><?xml version="1.0" encoding="utf-8"?>
<ds:datastoreItem xmlns:ds="http://schemas.openxmlformats.org/officeDocument/2006/customXml" ds:itemID="{2D7A6A51-2F72-40D9-A718-610AF673CE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e487ff-8531-4ca9-91c4-f82d89e5e98e"/>
    <ds:schemaRef ds:uri="c9260321-2f47-4675-b46b-f8e3f10ea3c9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C6412D04-1854-4FF1-8DC9-15BE1C5AC0B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8CC28FC-6EF3-4913-BB5C-1245242A7030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c9260321-2f47-4675-b46b-f8e3f10ea3c9"/>
    <ds:schemaRef ds:uri="http://schemas.microsoft.com/office/2006/documentManagement/types"/>
    <ds:schemaRef ds:uri="56e487ff-8531-4ca9-91c4-f82d89e5e98e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ENTREGABLE 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Archivo 01 VALOR</dc:title>
  <dc:creator>Esteban Yañez</dc:creator>
  <cp:lastModifiedBy>Gabriel</cp:lastModifiedBy>
  <cp:lastPrinted>2001-01-18T03:01:23Z</cp:lastPrinted>
  <dcterms:created xsi:type="dcterms:W3CDTF">1999-05-21T04:40:53Z</dcterms:created>
  <dcterms:modified xsi:type="dcterms:W3CDTF">2023-04-18T00:33:14Z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Documento</vt:lpwstr>
  </property>
</Properties>
</file>